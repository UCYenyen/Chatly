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&amp; The Ask" sheetId="1" state="visible" r:id="rId1"/>
    <sheet name="Asumsi" sheetId="2" state="visible" r:id="rId2"/>
    <sheet name="Unit Ekonomi" sheetId="3" state="visible" r:id="rId3"/>
    <sheet name="Model 36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p&quot;#,##0"/>
    <numFmt numFmtId="165" formatCode="&quot;$&quot;0.000000"/>
    <numFmt numFmtId="166" formatCode="0.0%"/>
    <numFmt numFmtId="167" formatCode="&quot;Rp&quot;#,##0.00"/>
    <numFmt numFmtId="168" formatCode="&quot;$&quot;#,##0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7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6" fontId="7" fillId="5" borderId="1" pivotButton="0" quotePrefix="0" xfId="0"/>
    <xf numFmtId="3" fontId="0" fillId="0" borderId="0" pivotButton="0" quotePrefix="0" xfId="0"/>
    <xf numFmtId="3" fontId="7" fillId="5" borderId="1" pivotButton="0" quotePrefix="0" xfId="0"/>
    <xf numFmtId="164" fontId="7" fillId="5" borderId="1" pivotButton="0" quotePrefix="0" xfId="0"/>
    <xf numFmtId="166" fontId="0" fillId="0" borderId="0" pivotButton="0" quotePrefix="0" xfId="0"/>
    <xf numFmtId="168" fontId="0" fillId="0" borderId="0" pivotButton="0" quotePrefix="0" xfId="0"/>
    <xf numFmtId="2" fontId="7" fillId="5" borderId="1" pivotButton="0" quotePrefix="0" xfId="0"/>
    <xf numFmtId="2" fontId="0" fillId="0" borderId="0" pivotButton="0" quotePrefix="0" xfId="0"/>
    <xf numFmtId="0" fontId="2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166" fontId="0" fillId="3" borderId="1" pivotButton="0" quotePrefix="0" xfId="0"/>
    <xf numFmtId="166" fontId="4" fillId="0" borderId="0" pivotButton="0" quotePrefix="0" xfId="0"/>
    <xf numFmtId="0" fontId="5" fillId="4" borderId="0" pivotButton="0" quotePrefix="0" xfId="0"/>
    <xf numFmtId="165" fontId="0" fillId="0" borderId="0" pivotButton="0" quotePrefix="0" xfId="0"/>
    <xf numFmtId="165" fontId="6" fillId="0" borderId="0" pivotButton="0" quotePrefix="0" xfId="0"/>
    <xf numFmtId="167" fontId="6" fillId="5" borderId="1" pivotButton="0" quotePrefix="0" xfId="0"/>
    <xf numFmtId="0" fontId="5" fillId="4" borderId="0" applyAlignment="1" pivotButton="0" quotePrefix="0" xfId="0">
      <alignment horizontal="center"/>
    </xf>
    <xf numFmtId="166" fontId="6" fillId="0" borderId="0" pivotButton="0" quotePrefix="0" xfId="0"/>
    <xf numFmtId="164" fontId="6" fillId="5" borderId="1" pivotButton="0" quotePrefix="0" xfId="0"/>
    <xf numFmtId="166" fontId="6" fillId="5" borderId="1" pivotButton="0" quotePrefix="0" xfId="0"/>
    <xf numFmtId="164" fontId="6" fillId="0" borderId="0" pivotButton="0" quotePrefix="0" xfId="0"/>
    <xf numFmtId="0" fontId="6" fillId="0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48" customWidth="1" min="4" max="4"/>
  </cols>
  <sheetData>
    <row r="1">
      <c r="B1" s="1" t="inlineStr">
        <is>
          <t>RINGKASAN EKSEKUTIF &amp; THE ASK</t>
        </is>
      </c>
    </row>
    <row r="3">
      <c r="B3" s="2" t="inlineStr">
        <is>
          <t>MODEL BISNIS — UNIT EKONOMI</t>
        </is>
      </c>
      <c r="C3" s="3" t="n"/>
      <c r="D3" s="3" t="n"/>
    </row>
    <row r="4">
      <c r="B4" t="inlineStr">
        <is>
          <t>Biaya AI per pesan</t>
        </is>
      </c>
      <c r="C4" s="4">
        <f>'Unit Ekonomi'!$C$8</f>
        <v/>
      </c>
      <c r="D4" s="5" t="inlineStr">
        <is>
          <t>Gemini 2.5 Flash-Lite, ~Rp per pesan</t>
        </is>
      </c>
    </row>
    <row r="5">
      <c r="B5" t="inlineStr">
        <is>
          <t>Blended ARPU / bln</t>
        </is>
      </c>
      <c r="C5" s="6">
        <f>'Unit Ekonomi'!$C$16</f>
        <v/>
      </c>
      <c r="D5" s="5" t="inlineStr">
        <is>
          <t>rata-rata pendapatan / pelanggan</t>
        </is>
      </c>
    </row>
    <row r="6">
      <c r="B6" t="inlineStr">
        <is>
          <t>Blended margin kotor</t>
        </is>
      </c>
      <c r="C6" s="7">
        <f>'Unit Ekonomi'!$C$17</f>
        <v/>
      </c>
      <c r="D6" s="5" t="inlineStr">
        <is>
          <t>SaaS dengan struktur biaya tetap</t>
        </is>
      </c>
    </row>
    <row r="7">
      <c r="B7" t="inlineStr">
        <is>
          <t>LTV / pelanggan</t>
        </is>
      </c>
      <c r="C7" s="6">
        <f>'Unit Ekonomi'!$C$18</f>
        <v/>
      </c>
    </row>
    <row r="9">
      <c r="B9" s="2" t="inlineStr">
        <is>
          <t>PERTUMBUHAN</t>
        </is>
      </c>
      <c r="C9" s="3" t="n"/>
      <c r="D9" s="3" t="n"/>
    </row>
    <row r="10">
      <c r="B10" t="inlineStr">
        <is>
          <t>Pelanggan aktif akhir Thn 1</t>
        </is>
      </c>
      <c r="C10" s="8">
        <f>'Model 36 Bulan'!$N$12</f>
        <v/>
      </c>
    </row>
    <row r="11">
      <c r="B11" t="inlineStr">
        <is>
          <t>Pelanggan aktif akhir Thn 2</t>
        </is>
      </c>
      <c r="C11" s="8">
        <f>'Model 36 Bulan'!$Z$12</f>
        <v/>
      </c>
    </row>
    <row r="12">
      <c r="B12" t="inlineStr">
        <is>
          <t>Pelanggan aktif akhir Thn 3</t>
        </is>
      </c>
      <c r="C12" s="9">
        <f>'Model 36 Bulan'!$AL$12</f>
        <v/>
      </c>
    </row>
    <row r="14">
      <c r="B14" s="2" t="inlineStr">
        <is>
          <t>PENDAPATAN</t>
        </is>
      </c>
      <c r="C14" s="3" t="n"/>
      <c r="D14" s="3" t="n"/>
    </row>
    <row r="15">
      <c r="B15" t="inlineStr">
        <is>
          <t>Pendapatan Tahun 1</t>
        </is>
      </c>
      <c r="C15" s="6">
        <f>SUM('Model 36 Bulan'!$C$19:$N$19)</f>
        <v/>
      </c>
    </row>
    <row r="16">
      <c r="B16" t="inlineStr">
        <is>
          <t>Pendapatan Tahun 2</t>
        </is>
      </c>
      <c r="C16" s="6">
        <f>SUM('Model 36 Bulan'!$O$19:$Z$19)</f>
        <v/>
      </c>
    </row>
    <row r="17">
      <c r="B17" t="inlineStr">
        <is>
          <t>Pendapatan Tahun 3</t>
        </is>
      </c>
      <c r="C17" s="6">
        <f>SUM('Model 36 Bulan'!$AA$19:$AL$19)</f>
        <v/>
      </c>
    </row>
    <row r="18">
      <c r="B18" t="inlineStr">
        <is>
          <t>ARR keluar (akhir M36)</t>
        </is>
      </c>
      <c r="C18" s="10">
        <f>'Model 36 Bulan'!$AL$18</f>
        <v/>
      </c>
    </row>
    <row r="20">
      <c r="B20" s="2" t="inlineStr">
        <is>
          <t>PROFITABILITAS</t>
        </is>
      </c>
      <c r="C20" s="3" t="n"/>
      <c r="D20" s="3" t="n"/>
    </row>
    <row r="21">
      <c r="B21" t="inlineStr">
        <is>
          <t>EBITDA Tahun 1</t>
        </is>
      </c>
      <c r="C21" s="6">
        <f>SUM('Model 36 Bulan'!$C$35:$N$35)</f>
        <v/>
      </c>
    </row>
    <row r="22">
      <c r="B22" t="inlineStr">
        <is>
          <t>EBITDA Tahun 2</t>
        </is>
      </c>
      <c r="C22" s="6">
        <f>SUM('Model 36 Bulan'!$O$35:$Z$35)</f>
        <v/>
      </c>
    </row>
    <row r="23">
      <c r="B23" t="inlineStr">
        <is>
          <t>EBITDA Tahun 3</t>
        </is>
      </c>
      <c r="C23" s="10">
        <f>SUM('Model 36 Bulan'!$AA$35:$AL$35)</f>
        <v/>
      </c>
    </row>
    <row r="24">
      <c r="B24" t="inlineStr">
        <is>
          <t>Bulan mencapai profitabilitas (EBITDA+)</t>
        </is>
      </c>
      <c r="C24" s="9">
        <f>IF($C$40&gt;36,"Belum dalam 36 bln",$C$40)</f>
        <v/>
      </c>
    </row>
    <row r="25">
      <c r="B25" t="inlineStr">
        <is>
          <t>Estimasi pelanggan saat breakeven</t>
        </is>
      </c>
      <c r="C25" s="8">
        <f>IF($C$40&gt;36,"-",INDEX('Model 36 Bulan'!$C$12:$AL$12,1,$C$40))</f>
        <v/>
      </c>
    </row>
    <row r="27">
      <c r="B27" s="2" t="inlineStr">
        <is>
          <t>THE ASK — PENDANAAN</t>
        </is>
      </c>
      <c r="C27" s="3" t="n"/>
      <c r="D27" s="3" t="n"/>
    </row>
    <row r="28">
      <c r="B28" t="inlineStr">
        <is>
          <t>Puncak kebutuhan kas (max burn)</t>
        </is>
      </c>
      <c r="C28" s="6">
        <f>MAX(0,-MIN('Model 36 Bulan'!$C$36:$AL$36))</f>
        <v/>
      </c>
      <c r="D28" s="5" t="inlineStr">
        <is>
          <t>dasar besaran raise</t>
        </is>
      </c>
    </row>
    <row r="29">
      <c r="B29" t="inlineStr">
        <is>
          <t>Buffer</t>
        </is>
      </c>
      <c r="C29" s="11">
        <f>'Asumsi'!$C$57</f>
        <v/>
      </c>
    </row>
    <row r="30">
      <c r="B30" t="inlineStr">
        <is>
          <t>TARGET RAISE (seed)</t>
        </is>
      </c>
      <c r="C30" s="10">
        <f>CEILING(C28*(1+C29),100000000)</f>
        <v/>
      </c>
      <c r="D30" s="5" t="inlineStr">
        <is>
          <t>dibulatkan ke Rp 100 jt</t>
        </is>
      </c>
    </row>
    <row r="31">
      <c r="B31" t="inlineStr">
        <is>
          <t xml:space="preserve">  setara (USD)</t>
        </is>
      </c>
      <c r="C31" s="12">
        <f>C30/'Asumsi'!$C$5</f>
        <v/>
      </c>
      <c r="D31" s="5" t="inlineStr">
        <is>
          <t>estimasi</t>
        </is>
      </c>
    </row>
    <row r="32">
      <c r="B32" t="inlineStr">
        <is>
          <t>CAC (blended)</t>
        </is>
      </c>
      <c r="C32" s="6">
        <f>SUM('Model 36 Bulan'!$C$32:$AL$32)/SUM('Model 36 Bulan'!$C$4:$AL$4)</f>
        <v/>
      </c>
      <c r="D32" s="5" t="inlineStr">
        <is>
          <t>total marketing / total akuisisi</t>
        </is>
      </c>
    </row>
    <row r="33">
      <c r="B33" t="inlineStr">
        <is>
          <t>Rasio LTV : CAC</t>
        </is>
      </c>
      <c r="C33" s="13">
        <f>C7/C32</f>
        <v/>
      </c>
      <c r="D33" s="5" t="inlineStr">
        <is>
          <t>&gt;3 = sehat</t>
        </is>
      </c>
    </row>
    <row r="34">
      <c r="B34" t="inlineStr">
        <is>
          <t>Payback period (bln)</t>
        </is>
      </c>
      <c r="C34" s="14">
        <f>C32/(C5*C6)</f>
        <v/>
      </c>
      <c r="D34" s="5" t="inlineStr">
        <is>
          <t>CAC / kontribusi bulanan</t>
        </is>
      </c>
    </row>
    <row r="36">
      <c r="B36" s="2" t="inlineStr">
        <is>
          <t>PENGGUNAAN DANA</t>
        </is>
      </c>
      <c r="C36" s="3" t="n"/>
      <c r="D36" s="3" t="n"/>
    </row>
    <row r="37">
      <c r="B37" t="inlineStr">
        <is>
          <t>~55% Tim &amp; produk (ramp ke 8 staf, 24 bln runway)</t>
        </is>
      </c>
    </row>
    <row r="38">
      <c r="B38" t="inlineStr">
        <is>
          <t>~30% Sales &amp; Marketing (mesin akuisisi)</t>
        </is>
      </c>
    </row>
    <row r="39">
      <c r="B39" t="inlineStr">
        <is>
          <t>~15% Infra, operasional &amp; buffer kas</t>
        </is>
      </c>
    </row>
    <row r="40" hidden="1">
      <c r="B40" s="5" t="inlineStr">
        <is>
          <t>(helper) bln profitabilitas</t>
        </is>
      </c>
      <c r="C40" s="8">
        <f>MIN('Model 36 Bulan'!$C$40:$AL$40)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6" customWidth="1" min="4" max="4"/>
    <col width="52" customWidth="1" min="5" max="5"/>
  </cols>
  <sheetData>
    <row r="1">
      <c r="B1" s="1" t="inlineStr">
        <is>
          <t>CHATLY — MODEL &amp; ASUMSI KEUANGAN</t>
        </is>
      </c>
    </row>
    <row r="2">
      <c r="B2" s="15" t="inlineStr">
        <is>
          <t>Sel KUNING = bisa diedit. Semua sheet lain otomatis mengikuti. Mata uang: IDR (Rp).</t>
        </is>
      </c>
    </row>
    <row r="4">
      <c r="B4" s="2" t="inlineStr">
        <is>
          <t>1. KURS &amp; BIAYA AI — Gemini 2.5 Flash-Lite (terverifikasi Jun 2026)</t>
        </is>
      </c>
      <c r="C4" s="3" t="n"/>
      <c r="D4" s="3" t="n"/>
      <c r="E4" s="3" t="n"/>
    </row>
    <row r="5">
      <c r="B5" t="inlineStr">
        <is>
          <t>Kurs USD -&gt; IDR</t>
        </is>
      </c>
      <c r="C5" s="16" t="n">
        <v>18000</v>
      </c>
      <c r="E5" s="5" t="inlineStr">
        <is>
          <t>Rp per 1 USD (asumsi konservatif)</t>
        </is>
      </c>
    </row>
    <row r="6">
      <c r="B6" t="inlineStr">
        <is>
          <t>Harga input Gemini</t>
        </is>
      </c>
      <c r="C6" s="17" t="n">
        <v>0.1</v>
      </c>
      <c r="E6" s="5" t="inlineStr">
        <is>
          <t>USD / 1 juta token</t>
        </is>
      </c>
    </row>
    <row r="7">
      <c r="B7" t="inlineStr">
        <is>
          <t>Harga output Gemini</t>
        </is>
      </c>
      <c r="C7" s="17" t="n">
        <v>0.4</v>
      </c>
      <c r="E7" s="5" t="inlineStr">
        <is>
          <t>USD / 1 juta token</t>
        </is>
      </c>
    </row>
    <row r="8">
      <c r="B8" t="inlineStr">
        <is>
          <t>Harga embedding (gemini-embedding-001)</t>
        </is>
      </c>
      <c r="C8" s="17" t="n">
        <v>0.15</v>
      </c>
      <c r="E8" s="5" t="inlineStr">
        <is>
          <t>USD / 1 juta token</t>
        </is>
      </c>
    </row>
    <row r="9">
      <c r="B9" t="inlineStr">
        <is>
          <t>Token input / pesan</t>
        </is>
      </c>
      <c r="C9" s="18" t="n">
        <v>4000</v>
      </c>
      <c r="E9" s="5" t="inlineStr">
        <is>
          <t>system prompt + 5 chunk RAG + 6 histori + pesan masuk</t>
        </is>
      </c>
    </row>
    <row r="10">
      <c r="B10" t="inlineStr">
        <is>
          <t>Token output / pesan</t>
        </is>
      </c>
      <c r="C10" s="18" t="n">
        <v>350</v>
      </c>
      <c r="E10" s="5" t="inlineStr">
        <is>
          <t>balasan + JSON intent analytics</t>
        </is>
      </c>
    </row>
    <row r="11">
      <c r="B11" t="inlineStr">
        <is>
          <t>Token embedding / pesan</t>
        </is>
      </c>
      <c r="C11" s="18" t="n">
        <v>50</v>
      </c>
      <c r="E11" s="5" t="inlineStr">
        <is>
          <t>embedding query untuk RAG retrieval</t>
        </is>
      </c>
    </row>
    <row r="13">
      <c r="B13" s="2" t="inlineStr">
        <is>
          <t>2. BIAYA VARIABEL LAIN</t>
        </is>
      </c>
      <c r="C13" s="3" t="n"/>
      <c r="D13" s="3" t="n"/>
      <c r="E13" s="3" t="n"/>
    </row>
    <row r="14">
      <c r="B14" t="inlineStr">
        <is>
          <t>Fee payment gateway</t>
        </is>
      </c>
      <c r="C14" s="19" t="n">
        <v>0.029</v>
      </c>
      <c r="E14" s="5" t="inlineStr">
        <is>
          <t>% dari pendapatan (Xendit / Midtrans)</t>
        </is>
      </c>
    </row>
    <row r="15">
      <c r="B15" t="inlineStr">
        <is>
          <t>Infra media + email / pelanggan</t>
        </is>
      </c>
      <c r="C15" s="16" t="n">
        <v>1500</v>
      </c>
      <c r="E15" s="5" t="inlineStr">
        <is>
          <t>Rp / pelanggan / bln (Cloudinary, email)</t>
        </is>
      </c>
    </row>
    <row r="17">
      <c r="B17" s="2" t="inlineStr">
        <is>
          <t>3. VOLUME PESAN AI / PELANGGAN / BULAN</t>
        </is>
      </c>
      <c r="C17" s="3" t="n"/>
      <c r="D17" s="3" t="n"/>
      <c r="E17" s="3" t="n"/>
    </row>
    <row r="18">
      <c r="B18" t="inlineStr">
        <is>
          <t>Starter</t>
        </is>
      </c>
      <c r="C18" s="18" t="n">
        <v>1500</v>
      </c>
      <c r="E18" s="5" t="inlineStr">
        <is>
          <t>pesan masuk ditangani AI / bln</t>
        </is>
      </c>
    </row>
    <row r="19">
      <c r="B19" t="inlineStr">
        <is>
          <t>Growth</t>
        </is>
      </c>
      <c r="C19" s="18" t="n">
        <v>5000</v>
      </c>
    </row>
    <row r="20">
      <c r="B20" t="inlineStr">
        <is>
          <t>Pro</t>
        </is>
      </c>
      <c r="C20" s="18" t="n">
        <v>20000</v>
      </c>
    </row>
    <row r="22">
      <c r="B22" s="2" t="inlineStr">
        <is>
          <t>4. HARGA PAKET (Rp / bln) — dari aplikasi</t>
        </is>
      </c>
      <c r="C22" s="3" t="n"/>
      <c r="D22" s="3" t="n"/>
      <c r="E22" s="3" t="n"/>
    </row>
    <row r="23">
      <c r="B23" t="inlineStr">
        <is>
          <t>Starter</t>
        </is>
      </c>
      <c r="C23" s="16" t="n">
        <v>149000</v>
      </c>
      <c r="E23" s="5" t="inlineStr">
        <is>
          <t>harga live di aplikasi</t>
        </is>
      </c>
    </row>
    <row r="24">
      <c r="B24" t="inlineStr">
        <is>
          <t>Growth</t>
        </is>
      </c>
      <c r="C24" s="16" t="n">
        <v>349000</v>
      </c>
      <c r="E24" s="5" t="inlineStr">
        <is>
          <t>paket unggulan / highlighted</t>
        </is>
      </c>
    </row>
    <row r="25">
      <c r="B25" t="inlineStr">
        <is>
          <t>Pro</t>
        </is>
      </c>
      <c r="C25" s="16" t="n">
        <v>749000</v>
      </c>
    </row>
    <row r="27">
      <c r="B27" s="2" t="inlineStr">
        <is>
          <t>5. AKUISISI &amp; RETENSI</t>
        </is>
      </c>
      <c r="C27" s="3" t="n"/>
      <c r="D27" s="3" t="n"/>
      <c r="E27" s="3" t="n"/>
    </row>
    <row r="28">
      <c r="B28" t="inlineStr">
        <is>
          <t>Pelanggan awal (bulan 1)</t>
        </is>
      </c>
      <c r="C28" s="18" t="n">
        <v>10</v>
      </c>
      <c r="E28" s="5" t="inlineStr">
        <is>
          <t>basis dari beta / early sales (konservatif)</t>
        </is>
      </c>
    </row>
    <row r="29">
      <c r="B29" t="inlineStr">
        <is>
          <t>Pelanggan baru / bln — awal (M1)</t>
        </is>
      </c>
      <c r="C29" s="18" t="n">
        <v>10</v>
      </c>
      <c r="E29" s="5" t="inlineStr">
        <is>
          <t>ramp linear (konservatif)</t>
        </is>
      </c>
    </row>
    <row r="30">
      <c r="B30" t="inlineStr">
        <is>
          <t>Pelanggan baru / bln — akhir (M36)</t>
        </is>
      </c>
      <c r="C30" s="18" t="n">
        <v>30</v>
      </c>
      <c r="E30" s="5" t="inlineStr">
        <is>
          <t>ramp linear (konservatif)</t>
        </is>
      </c>
    </row>
    <row r="31">
      <c r="B31" t="inlineStr">
        <is>
          <t>Churn bulanan</t>
        </is>
      </c>
      <c r="C31" s="19" t="n">
        <v>0.05</v>
      </c>
      <c r="E31" s="5" t="inlineStr">
        <is>
          <t>% pelanggan berhenti / bln (SMB SaaS, konservatif)</t>
        </is>
      </c>
    </row>
    <row r="32">
      <c r="B32" t="inlineStr">
        <is>
          <t>Mix Starter</t>
        </is>
      </c>
      <c r="C32" s="19" t="n">
        <v>0.55</v>
      </c>
    </row>
    <row r="33">
      <c r="B33" t="inlineStr">
        <is>
          <t>Mix Growth</t>
        </is>
      </c>
      <c r="C33" s="19" t="n">
        <v>0.35</v>
      </c>
    </row>
    <row r="34">
      <c r="B34" t="inlineStr">
        <is>
          <t>Mix Pro</t>
        </is>
      </c>
      <c r="C34" s="19" t="n">
        <v>0.1</v>
      </c>
    </row>
    <row r="35">
      <c r="B35" t="inlineStr">
        <is>
          <t>Cek: total mix</t>
        </is>
      </c>
      <c r="C35" s="20">
        <f>C32+C33+C34</f>
        <v/>
      </c>
      <c r="E35" s="5" t="inlineStr">
        <is>
          <t>harus = 100%</t>
        </is>
      </c>
    </row>
    <row r="37">
      <c r="B37" s="2" t="inlineStr">
        <is>
          <t>6. GAJI TIM (8 ORANG) — gaji gross Rp/bln, bulan mulai kerja</t>
        </is>
      </c>
      <c r="C37" s="3" t="n"/>
      <c r="D37" s="3" t="n"/>
      <c r="E37" s="3" t="n"/>
    </row>
    <row r="38">
      <c r="B38" s="21" t="inlineStr">
        <is>
          <t>Peran</t>
        </is>
      </c>
      <c r="C38" s="21" t="inlineStr">
        <is>
          <t>Gaji/bln</t>
        </is>
      </c>
      <c r="D38" s="21" t="inlineStr">
        <is>
          <t>Mulai bln</t>
        </is>
      </c>
    </row>
    <row r="39">
      <c r="B39" t="inlineStr">
        <is>
          <t>CEO / Co-founder</t>
        </is>
      </c>
      <c r="C39" s="16" t="n">
        <v>3500000</v>
      </c>
      <c r="D39" s="18" t="n">
        <v>1</v>
      </c>
    </row>
    <row r="40">
      <c r="B40" t="inlineStr">
        <is>
          <t>CTO / Co-founder</t>
        </is>
      </c>
      <c r="C40" s="16" t="n">
        <v>3500000</v>
      </c>
      <c r="D40" s="18" t="n">
        <v>1</v>
      </c>
    </row>
    <row r="41">
      <c r="B41" t="inlineStr">
        <is>
          <t>Backend Engineer</t>
        </is>
      </c>
      <c r="C41" s="16" t="n">
        <v>3500000</v>
      </c>
      <c r="D41" s="18" t="n">
        <v>1</v>
      </c>
    </row>
    <row r="42">
      <c r="B42" t="inlineStr">
        <is>
          <t>Sales / Business Dev</t>
        </is>
      </c>
      <c r="C42" s="16" t="n">
        <v>2500000</v>
      </c>
      <c r="D42" s="18" t="n">
        <v>1</v>
      </c>
    </row>
    <row r="43">
      <c r="B43" t="inlineStr">
        <is>
          <t>Frontend Engineer</t>
        </is>
      </c>
      <c r="C43" s="16" t="n">
        <v>3000000</v>
      </c>
      <c r="D43" s="18" t="n">
        <v>1</v>
      </c>
    </row>
    <row r="44">
      <c r="B44" t="inlineStr">
        <is>
          <t>Customer Success</t>
        </is>
      </c>
      <c r="C44" s="16" t="n">
        <v>2000000</v>
      </c>
      <c r="D44" s="18" t="n">
        <v>1</v>
      </c>
    </row>
    <row r="45">
      <c r="B45" t="inlineStr">
        <is>
          <t>AI / ML Engineer</t>
        </is>
      </c>
      <c r="C45" s="16" t="n">
        <v>3500000</v>
      </c>
      <c r="D45" s="18" t="n">
        <v>1</v>
      </c>
    </row>
    <row r="46">
      <c r="B46" t="inlineStr">
        <is>
          <t>Growth / Marketing</t>
        </is>
      </c>
      <c r="C46" s="16" t="n">
        <v>2500000</v>
      </c>
      <c r="D46" s="18" t="n">
        <v>1</v>
      </c>
    </row>
    <row r="47">
      <c r="B47" t="inlineStr">
        <is>
          <t>Beban BPJS + THR (loading)</t>
        </is>
      </c>
      <c r="C47" s="19" t="n">
        <v>0.19</v>
      </c>
      <c r="E47" s="5" t="inlineStr">
        <is>
          <t>+ di atas gaji gross (BPJS ~11% + THR 8.3%)</t>
        </is>
      </c>
    </row>
    <row r="49">
      <c r="B49" s="2" t="inlineStr">
        <is>
          <t>7. OPEX LAIN — ramp linear awal(M1) -&gt; akhir(M36), Rp/bln</t>
        </is>
      </c>
      <c r="C49" s="3" t="n"/>
      <c r="D49" s="3" t="n"/>
      <c r="E49" s="3" t="n"/>
    </row>
    <row r="50">
      <c r="B50" s="21" t="inlineStr">
        <is>
          <t>Pos</t>
        </is>
      </c>
      <c r="C50" s="21" t="inlineStr">
        <is>
          <t>Awal (M1)</t>
        </is>
      </c>
      <c r="D50" s="21" t="inlineStr">
        <is>
          <t>Akhir (M36)</t>
        </is>
      </c>
    </row>
    <row r="51">
      <c r="B51" t="inlineStr">
        <is>
          <t>Hosting / VPS (app, Postgres, Gowa)</t>
        </is>
      </c>
      <c r="C51" s="16" t="n">
        <v>1500000</v>
      </c>
      <c r="D51" s="16" t="n">
        <v>6000000</v>
      </c>
    </row>
    <row r="52">
      <c r="B52" t="inlineStr">
        <is>
          <t>Tools &amp; SaaS</t>
        </is>
      </c>
      <c r="C52" s="16" t="n">
        <v>2000000</v>
      </c>
      <c r="D52" s="16" t="n">
        <v>4000000</v>
      </c>
    </row>
    <row r="53">
      <c r="B53" t="inlineStr">
        <is>
          <t>Operasional &amp; Admin</t>
        </is>
      </c>
      <c r="C53" s="16" t="n">
        <v>1500000</v>
      </c>
      <c r="D53" s="16" t="n">
        <v>3000000</v>
      </c>
    </row>
    <row r="54">
      <c r="B54" t="inlineStr">
        <is>
          <t>Sales &amp; Marketing</t>
        </is>
      </c>
      <c r="C54" s="16" t="n">
        <v>8000000</v>
      </c>
      <c r="D54" s="16" t="n">
        <v>25000000</v>
      </c>
    </row>
    <row r="56">
      <c r="B56" s="2" t="inlineStr">
        <is>
          <t>8. THE ASK</t>
        </is>
      </c>
      <c r="C56" s="3" t="n"/>
      <c r="D56" s="3" t="n"/>
      <c r="E56" s="3" t="n"/>
    </row>
    <row r="57">
      <c r="B57" t="inlineStr">
        <is>
          <t>Buffer di atas puncak kebutuhan kas</t>
        </is>
      </c>
      <c r="C57" s="19" t="n">
        <v>0.4</v>
      </c>
      <c r="E57" s="5" t="inlineStr">
        <is>
          <t>untuk runway aman + modal pertumbuhan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UNIT EKONOMI — biaya per pesan &amp; margin per tier</t>
        </is>
      </c>
    </row>
    <row r="3">
      <c r="B3" s="2" t="inlineStr">
        <is>
          <t>BIAYA PER PESAN AI (Gemini 2.5 Flash-Lite)</t>
        </is>
      </c>
      <c r="C3" s="3" t="n"/>
      <c r="D3" s="3" t="n"/>
      <c r="E3" s="3" t="n"/>
    </row>
    <row r="4">
      <c r="B4" t="inlineStr">
        <is>
          <t>Biaya input / pesan (USD)</t>
        </is>
      </c>
      <c r="C4" s="22">
        <f>'Asumsi'!$C$9*'Asumsi'!$C$6/1000000</f>
        <v/>
      </c>
    </row>
    <row r="5">
      <c r="B5" t="inlineStr">
        <is>
          <t>Biaya output / pesan (USD)</t>
        </is>
      </c>
      <c r="C5" s="22">
        <f>'Asumsi'!$C$10*'Asumsi'!$C$7/1000000</f>
        <v/>
      </c>
    </row>
    <row r="6">
      <c r="B6" t="inlineStr">
        <is>
          <t>Biaya embedding / pesan (USD)</t>
        </is>
      </c>
      <c r="C6" s="22">
        <f>'Asumsi'!$C$11*'Asumsi'!$C$8/1000000</f>
        <v/>
      </c>
    </row>
    <row r="7">
      <c r="B7" t="inlineStr">
        <is>
          <t>Total biaya / pesan (USD)</t>
        </is>
      </c>
      <c r="C7" s="23">
        <f>C4+C5+C6</f>
        <v/>
      </c>
    </row>
    <row r="8">
      <c r="B8" t="inlineStr">
        <is>
          <t>Total biaya / pesan (Rp)</t>
        </is>
      </c>
      <c r="C8" s="24">
        <f>C7*'Asumsi'!$C$5</f>
        <v/>
      </c>
      <c r="E8" s="5" t="inlineStr">
        <is>
          <t>&lt;- biaya marginal melayani 1 pesan pelanggan</t>
        </is>
      </c>
    </row>
    <row r="10">
      <c r="B10" s="2" t="inlineStr">
        <is>
          <t>EKONOMI PER PELANGGAN / BULAN, PER TIER</t>
        </is>
      </c>
      <c r="C10" s="3" t="n"/>
      <c r="D10" s="3" t="n"/>
      <c r="E10" s="3" t="n"/>
    </row>
    <row r="11">
      <c r="B11" s="25" t="inlineStr">
        <is>
          <t>Tier</t>
        </is>
      </c>
      <c r="C11" s="25" t="inlineStr">
        <is>
          <t>Harga/bln</t>
        </is>
      </c>
      <c r="D11" s="25" t="inlineStr">
        <is>
          <t>Pesan/bln</t>
        </is>
      </c>
      <c r="E11" s="25" t="inlineStr">
        <is>
          <t>Biaya AI</t>
        </is>
      </c>
      <c r="F11" s="25" t="inlineStr">
        <is>
          <t>Fee bayar</t>
        </is>
      </c>
      <c r="G11" s="25" t="inlineStr">
        <is>
          <t>Infra</t>
        </is>
      </c>
      <c r="H11" s="25" t="inlineStr">
        <is>
          <t>Total COGS</t>
        </is>
      </c>
      <c r="I11" s="25" t="inlineStr">
        <is>
          <t>Laba kotor</t>
        </is>
      </c>
      <c r="J11" s="25" t="inlineStr">
        <is>
          <t>Margin</t>
        </is>
      </c>
    </row>
    <row r="12">
      <c r="B12" t="inlineStr">
        <is>
          <t>Starter</t>
        </is>
      </c>
      <c r="C12" s="6">
        <f>'Asumsi'!$C$23</f>
        <v/>
      </c>
      <c r="D12" s="8">
        <f>'Asumsi'!$C$18</f>
        <v/>
      </c>
      <c r="E12" s="6">
        <f>D12*'Unit Ekonomi'!$C$8</f>
        <v/>
      </c>
      <c r="F12" s="6">
        <f>C12*'Asumsi'!$C$14</f>
        <v/>
      </c>
      <c r="G12" s="6">
        <f>'Asumsi'!$C$15</f>
        <v/>
      </c>
      <c r="H12" s="6">
        <f>E12+F12+G12</f>
        <v/>
      </c>
      <c r="I12" s="6">
        <f>C12-H12</f>
        <v/>
      </c>
      <c r="J12" s="26">
        <f>I12/C12</f>
        <v/>
      </c>
    </row>
    <row r="13">
      <c r="B13" t="inlineStr">
        <is>
          <t>Growth</t>
        </is>
      </c>
      <c r="C13" s="6">
        <f>'Asumsi'!$C$24</f>
        <v/>
      </c>
      <c r="D13" s="8">
        <f>'Asumsi'!$C$19</f>
        <v/>
      </c>
      <c r="E13" s="6">
        <f>D13*'Unit Ekonomi'!$C$8</f>
        <v/>
      </c>
      <c r="F13" s="6">
        <f>C13*'Asumsi'!$C$14</f>
        <v/>
      </c>
      <c r="G13" s="6">
        <f>'Asumsi'!$C$15</f>
        <v/>
      </c>
      <c r="H13" s="6">
        <f>E13+F13+G13</f>
        <v/>
      </c>
      <c r="I13" s="6">
        <f>C13-H13</f>
        <v/>
      </c>
      <c r="J13" s="26">
        <f>I13/C13</f>
        <v/>
      </c>
    </row>
    <row r="14">
      <c r="B14" t="inlineStr">
        <is>
          <t>Pro</t>
        </is>
      </c>
      <c r="C14" s="6">
        <f>'Asumsi'!$C$25</f>
        <v/>
      </c>
      <c r="D14" s="8">
        <f>'Asumsi'!$C$20</f>
        <v/>
      </c>
      <c r="E14" s="6">
        <f>D14*'Unit Ekonomi'!$C$8</f>
        <v/>
      </c>
      <c r="F14" s="6">
        <f>C14*'Asumsi'!$C$14</f>
        <v/>
      </c>
      <c r="G14" s="6">
        <f>'Asumsi'!$C$15</f>
        <v/>
      </c>
      <c r="H14" s="6">
        <f>E14+F14+G14</f>
        <v/>
      </c>
      <c r="I14" s="6">
        <f>C14-H14</f>
        <v/>
      </c>
      <c r="J14" s="26">
        <f>I14/C14</f>
        <v/>
      </c>
    </row>
    <row r="16">
      <c r="B16" t="inlineStr">
        <is>
          <t>Blended ARPU (Rp/bln)</t>
        </is>
      </c>
      <c r="C16" s="27">
        <f>'Asumsi'!$C$32*'Asumsi'!$C$23+'Asumsi'!$C$33*'Asumsi'!$C$24+'Asumsi'!$C$34*'Asumsi'!$C$25</f>
        <v/>
      </c>
    </row>
    <row r="17">
      <c r="B17" t="inlineStr">
        <is>
          <t>Blended margin kotor</t>
        </is>
      </c>
      <c r="C17" s="28">
        <f>'Asumsi'!$C$32*J12+'Asumsi'!$C$33*J13+'Asumsi'!$C$34*J14</f>
        <v/>
      </c>
    </row>
    <row r="18">
      <c r="B18" t="inlineStr">
        <is>
          <t>LTV / pelanggan (Rp)</t>
        </is>
      </c>
      <c r="C18" s="29">
        <f>C16*C17/'Asumsi'!$C$31</f>
        <v/>
      </c>
      <c r="E18" s="5" t="inlineStr">
        <is>
          <t>ARPU x margin / churn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L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B1" s="1" t="inlineStr">
        <is>
          <t>MODEL OPERASIONAL 36 BULAN (semua angka = formula hidup)</t>
        </is>
      </c>
    </row>
    <row r="3">
      <c r="B3" s="21" t="inlineStr">
        <is>
          <t>Bulan</t>
        </is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</row>
    <row r="4">
      <c r="B4" t="inlineStr">
        <is>
          <t>Pelanggan baru (gross)</t>
        </is>
      </c>
      <c r="C4" s="8">
        <f>ROUND('Asumsi'!$C$29+('Asumsi'!$C$30-'Asumsi'!$C$29)*(C$3-1)/35,0)</f>
        <v/>
      </c>
      <c r="D4" s="8">
        <f>ROUND('Asumsi'!$C$29+('Asumsi'!$C$30-'Asumsi'!$C$29)*(D$3-1)/35,0)</f>
        <v/>
      </c>
      <c r="E4" s="8">
        <f>ROUND('Asumsi'!$C$29+('Asumsi'!$C$30-'Asumsi'!$C$29)*(E$3-1)/35,0)</f>
        <v/>
      </c>
      <c r="F4" s="8">
        <f>ROUND('Asumsi'!$C$29+('Asumsi'!$C$30-'Asumsi'!$C$29)*(F$3-1)/35,0)</f>
        <v/>
      </c>
      <c r="G4" s="8">
        <f>ROUND('Asumsi'!$C$29+('Asumsi'!$C$30-'Asumsi'!$C$29)*(G$3-1)/35,0)</f>
        <v/>
      </c>
      <c r="H4" s="8">
        <f>ROUND('Asumsi'!$C$29+('Asumsi'!$C$30-'Asumsi'!$C$29)*(H$3-1)/35,0)</f>
        <v/>
      </c>
      <c r="I4" s="8">
        <f>ROUND('Asumsi'!$C$29+('Asumsi'!$C$30-'Asumsi'!$C$29)*(I$3-1)/35,0)</f>
        <v/>
      </c>
      <c r="J4" s="8">
        <f>ROUND('Asumsi'!$C$29+('Asumsi'!$C$30-'Asumsi'!$C$29)*(J$3-1)/35,0)</f>
        <v/>
      </c>
      <c r="K4" s="8">
        <f>ROUND('Asumsi'!$C$29+('Asumsi'!$C$30-'Asumsi'!$C$29)*(K$3-1)/35,0)</f>
        <v/>
      </c>
      <c r="L4" s="8">
        <f>ROUND('Asumsi'!$C$29+('Asumsi'!$C$30-'Asumsi'!$C$29)*(L$3-1)/35,0)</f>
        <v/>
      </c>
      <c r="M4" s="8">
        <f>ROUND('Asumsi'!$C$29+('Asumsi'!$C$30-'Asumsi'!$C$29)*(M$3-1)/35,0)</f>
        <v/>
      </c>
      <c r="N4" s="8">
        <f>ROUND('Asumsi'!$C$29+('Asumsi'!$C$30-'Asumsi'!$C$29)*(N$3-1)/35,0)</f>
        <v/>
      </c>
      <c r="O4" s="8">
        <f>ROUND('Asumsi'!$C$29+('Asumsi'!$C$30-'Asumsi'!$C$29)*(O$3-1)/35,0)</f>
        <v/>
      </c>
      <c r="P4" s="8">
        <f>ROUND('Asumsi'!$C$29+('Asumsi'!$C$30-'Asumsi'!$C$29)*(P$3-1)/35,0)</f>
        <v/>
      </c>
      <c r="Q4" s="8">
        <f>ROUND('Asumsi'!$C$29+('Asumsi'!$C$30-'Asumsi'!$C$29)*(Q$3-1)/35,0)</f>
        <v/>
      </c>
      <c r="R4" s="8">
        <f>ROUND('Asumsi'!$C$29+('Asumsi'!$C$30-'Asumsi'!$C$29)*(R$3-1)/35,0)</f>
        <v/>
      </c>
      <c r="S4" s="8">
        <f>ROUND('Asumsi'!$C$29+('Asumsi'!$C$30-'Asumsi'!$C$29)*(S$3-1)/35,0)</f>
        <v/>
      </c>
      <c r="T4" s="8">
        <f>ROUND('Asumsi'!$C$29+('Asumsi'!$C$30-'Asumsi'!$C$29)*(T$3-1)/35,0)</f>
        <v/>
      </c>
      <c r="U4" s="8">
        <f>ROUND('Asumsi'!$C$29+('Asumsi'!$C$30-'Asumsi'!$C$29)*(U$3-1)/35,0)</f>
        <v/>
      </c>
      <c r="V4" s="8">
        <f>ROUND('Asumsi'!$C$29+('Asumsi'!$C$30-'Asumsi'!$C$29)*(V$3-1)/35,0)</f>
        <v/>
      </c>
      <c r="W4" s="8">
        <f>ROUND('Asumsi'!$C$29+('Asumsi'!$C$30-'Asumsi'!$C$29)*(W$3-1)/35,0)</f>
        <v/>
      </c>
      <c r="X4" s="8">
        <f>ROUND('Asumsi'!$C$29+('Asumsi'!$C$30-'Asumsi'!$C$29)*(X$3-1)/35,0)</f>
        <v/>
      </c>
      <c r="Y4" s="8">
        <f>ROUND('Asumsi'!$C$29+('Asumsi'!$C$30-'Asumsi'!$C$29)*(Y$3-1)/35,0)</f>
        <v/>
      </c>
      <c r="Z4" s="8">
        <f>ROUND('Asumsi'!$C$29+('Asumsi'!$C$30-'Asumsi'!$C$29)*(Z$3-1)/35,0)</f>
        <v/>
      </c>
      <c r="AA4" s="8">
        <f>ROUND('Asumsi'!$C$29+('Asumsi'!$C$30-'Asumsi'!$C$29)*(AA$3-1)/35,0)</f>
        <v/>
      </c>
      <c r="AB4" s="8">
        <f>ROUND('Asumsi'!$C$29+('Asumsi'!$C$30-'Asumsi'!$C$29)*(AB$3-1)/35,0)</f>
        <v/>
      </c>
      <c r="AC4" s="8">
        <f>ROUND('Asumsi'!$C$29+('Asumsi'!$C$30-'Asumsi'!$C$29)*(AC$3-1)/35,0)</f>
        <v/>
      </c>
      <c r="AD4" s="8">
        <f>ROUND('Asumsi'!$C$29+('Asumsi'!$C$30-'Asumsi'!$C$29)*(AD$3-1)/35,0)</f>
        <v/>
      </c>
      <c r="AE4" s="8">
        <f>ROUND('Asumsi'!$C$29+('Asumsi'!$C$30-'Asumsi'!$C$29)*(AE$3-1)/35,0)</f>
        <v/>
      </c>
      <c r="AF4" s="8">
        <f>ROUND('Asumsi'!$C$29+('Asumsi'!$C$30-'Asumsi'!$C$29)*(AF$3-1)/35,0)</f>
        <v/>
      </c>
      <c r="AG4" s="8">
        <f>ROUND('Asumsi'!$C$29+('Asumsi'!$C$30-'Asumsi'!$C$29)*(AG$3-1)/35,0)</f>
        <v/>
      </c>
      <c r="AH4" s="8">
        <f>ROUND('Asumsi'!$C$29+('Asumsi'!$C$30-'Asumsi'!$C$29)*(AH$3-1)/35,0)</f>
        <v/>
      </c>
      <c r="AI4" s="8">
        <f>ROUND('Asumsi'!$C$29+('Asumsi'!$C$30-'Asumsi'!$C$29)*(AI$3-1)/35,0)</f>
        <v/>
      </c>
      <c r="AJ4" s="8">
        <f>ROUND('Asumsi'!$C$29+('Asumsi'!$C$30-'Asumsi'!$C$29)*(AJ$3-1)/35,0)</f>
        <v/>
      </c>
      <c r="AK4" s="8">
        <f>ROUND('Asumsi'!$C$29+('Asumsi'!$C$30-'Asumsi'!$C$29)*(AK$3-1)/35,0)</f>
        <v/>
      </c>
      <c r="AL4" s="8">
        <f>ROUND('Asumsi'!$C$29+('Asumsi'!$C$30-'Asumsi'!$C$29)*(AL$3-1)/35,0)</f>
        <v/>
      </c>
    </row>
    <row r="5">
      <c r="B5" t="inlineStr">
        <is>
          <t xml:space="preserve">   - Starter baru</t>
        </is>
      </c>
      <c r="C5" s="8">
        <f>C4*'Asumsi'!$C$32</f>
        <v/>
      </c>
      <c r="D5" s="8">
        <f>D4*'Asumsi'!$C$32</f>
        <v/>
      </c>
      <c r="E5" s="8">
        <f>E4*'Asumsi'!$C$32</f>
        <v/>
      </c>
      <c r="F5" s="8">
        <f>F4*'Asumsi'!$C$32</f>
        <v/>
      </c>
      <c r="G5" s="8">
        <f>G4*'Asumsi'!$C$32</f>
        <v/>
      </c>
      <c r="H5" s="8">
        <f>H4*'Asumsi'!$C$32</f>
        <v/>
      </c>
      <c r="I5" s="8">
        <f>I4*'Asumsi'!$C$32</f>
        <v/>
      </c>
      <c r="J5" s="8">
        <f>J4*'Asumsi'!$C$32</f>
        <v/>
      </c>
      <c r="K5" s="8">
        <f>K4*'Asumsi'!$C$32</f>
        <v/>
      </c>
      <c r="L5" s="8">
        <f>L4*'Asumsi'!$C$32</f>
        <v/>
      </c>
      <c r="M5" s="8">
        <f>M4*'Asumsi'!$C$32</f>
        <v/>
      </c>
      <c r="N5" s="8">
        <f>N4*'Asumsi'!$C$32</f>
        <v/>
      </c>
      <c r="O5" s="8">
        <f>O4*'Asumsi'!$C$32</f>
        <v/>
      </c>
      <c r="P5" s="8">
        <f>P4*'Asumsi'!$C$32</f>
        <v/>
      </c>
      <c r="Q5" s="8">
        <f>Q4*'Asumsi'!$C$32</f>
        <v/>
      </c>
      <c r="R5" s="8">
        <f>R4*'Asumsi'!$C$32</f>
        <v/>
      </c>
      <c r="S5" s="8">
        <f>S4*'Asumsi'!$C$32</f>
        <v/>
      </c>
      <c r="T5" s="8">
        <f>T4*'Asumsi'!$C$32</f>
        <v/>
      </c>
      <c r="U5" s="8">
        <f>U4*'Asumsi'!$C$32</f>
        <v/>
      </c>
      <c r="V5" s="8">
        <f>V4*'Asumsi'!$C$32</f>
        <v/>
      </c>
      <c r="W5" s="8">
        <f>W4*'Asumsi'!$C$32</f>
        <v/>
      </c>
      <c r="X5" s="8">
        <f>X4*'Asumsi'!$C$32</f>
        <v/>
      </c>
      <c r="Y5" s="8">
        <f>Y4*'Asumsi'!$C$32</f>
        <v/>
      </c>
      <c r="Z5" s="8">
        <f>Z4*'Asumsi'!$C$32</f>
        <v/>
      </c>
      <c r="AA5" s="8">
        <f>AA4*'Asumsi'!$C$32</f>
        <v/>
      </c>
      <c r="AB5" s="8">
        <f>AB4*'Asumsi'!$C$32</f>
        <v/>
      </c>
      <c r="AC5" s="8">
        <f>AC4*'Asumsi'!$C$32</f>
        <v/>
      </c>
      <c r="AD5" s="8">
        <f>AD4*'Asumsi'!$C$32</f>
        <v/>
      </c>
      <c r="AE5" s="8">
        <f>AE4*'Asumsi'!$C$32</f>
        <v/>
      </c>
      <c r="AF5" s="8">
        <f>AF4*'Asumsi'!$C$32</f>
        <v/>
      </c>
      <c r="AG5" s="8">
        <f>AG4*'Asumsi'!$C$32</f>
        <v/>
      </c>
      <c r="AH5" s="8">
        <f>AH4*'Asumsi'!$C$32</f>
        <v/>
      </c>
      <c r="AI5" s="8">
        <f>AI4*'Asumsi'!$C$32</f>
        <v/>
      </c>
      <c r="AJ5" s="8">
        <f>AJ4*'Asumsi'!$C$32</f>
        <v/>
      </c>
      <c r="AK5" s="8">
        <f>AK4*'Asumsi'!$C$32</f>
        <v/>
      </c>
      <c r="AL5" s="8">
        <f>AL4*'Asumsi'!$C$32</f>
        <v/>
      </c>
    </row>
    <row r="6">
      <c r="B6" t="inlineStr">
        <is>
          <t xml:space="preserve">   - Growth baru</t>
        </is>
      </c>
      <c r="C6" s="8">
        <f>C4*'Asumsi'!$C$33</f>
        <v/>
      </c>
      <c r="D6" s="8">
        <f>D4*'Asumsi'!$C$33</f>
        <v/>
      </c>
      <c r="E6" s="8">
        <f>E4*'Asumsi'!$C$33</f>
        <v/>
      </c>
      <c r="F6" s="8">
        <f>F4*'Asumsi'!$C$33</f>
        <v/>
      </c>
      <c r="G6" s="8">
        <f>G4*'Asumsi'!$C$33</f>
        <v/>
      </c>
      <c r="H6" s="8">
        <f>H4*'Asumsi'!$C$33</f>
        <v/>
      </c>
      <c r="I6" s="8">
        <f>I4*'Asumsi'!$C$33</f>
        <v/>
      </c>
      <c r="J6" s="8">
        <f>J4*'Asumsi'!$C$33</f>
        <v/>
      </c>
      <c r="K6" s="8">
        <f>K4*'Asumsi'!$C$33</f>
        <v/>
      </c>
      <c r="L6" s="8">
        <f>L4*'Asumsi'!$C$33</f>
        <v/>
      </c>
      <c r="M6" s="8">
        <f>M4*'Asumsi'!$C$33</f>
        <v/>
      </c>
      <c r="N6" s="8">
        <f>N4*'Asumsi'!$C$33</f>
        <v/>
      </c>
      <c r="O6" s="8">
        <f>O4*'Asumsi'!$C$33</f>
        <v/>
      </c>
      <c r="P6" s="8">
        <f>P4*'Asumsi'!$C$33</f>
        <v/>
      </c>
      <c r="Q6" s="8">
        <f>Q4*'Asumsi'!$C$33</f>
        <v/>
      </c>
      <c r="R6" s="8">
        <f>R4*'Asumsi'!$C$33</f>
        <v/>
      </c>
      <c r="S6" s="8">
        <f>S4*'Asumsi'!$C$33</f>
        <v/>
      </c>
      <c r="T6" s="8">
        <f>T4*'Asumsi'!$C$33</f>
        <v/>
      </c>
      <c r="U6" s="8">
        <f>U4*'Asumsi'!$C$33</f>
        <v/>
      </c>
      <c r="V6" s="8">
        <f>V4*'Asumsi'!$C$33</f>
        <v/>
      </c>
      <c r="W6" s="8">
        <f>W4*'Asumsi'!$C$33</f>
        <v/>
      </c>
      <c r="X6" s="8">
        <f>X4*'Asumsi'!$C$33</f>
        <v/>
      </c>
      <c r="Y6" s="8">
        <f>Y4*'Asumsi'!$C$33</f>
        <v/>
      </c>
      <c r="Z6" s="8">
        <f>Z4*'Asumsi'!$C$33</f>
        <v/>
      </c>
      <c r="AA6" s="8">
        <f>AA4*'Asumsi'!$C$33</f>
        <v/>
      </c>
      <c r="AB6" s="8">
        <f>AB4*'Asumsi'!$C$33</f>
        <v/>
      </c>
      <c r="AC6" s="8">
        <f>AC4*'Asumsi'!$C$33</f>
        <v/>
      </c>
      <c r="AD6" s="8">
        <f>AD4*'Asumsi'!$C$33</f>
        <v/>
      </c>
      <c r="AE6" s="8">
        <f>AE4*'Asumsi'!$C$33</f>
        <v/>
      </c>
      <c r="AF6" s="8">
        <f>AF4*'Asumsi'!$C$33</f>
        <v/>
      </c>
      <c r="AG6" s="8">
        <f>AG4*'Asumsi'!$C$33</f>
        <v/>
      </c>
      <c r="AH6" s="8">
        <f>AH4*'Asumsi'!$C$33</f>
        <v/>
      </c>
      <c r="AI6" s="8">
        <f>AI4*'Asumsi'!$C$33</f>
        <v/>
      </c>
      <c r="AJ6" s="8">
        <f>AJ4*'Asumsi'!$C$33</f>
        <v/>
      </c>
      <c r="AK6" s="8">
        <f>AK4*'Asumsi'!$C$33</f>
        <v/>
      </c>
      <c r="AL6" s="8">
        <f>AL4*'Asumsi'!$C$33</f>
        <v/>
      </c>
    </row>
    <row r="7">
      <c r="B7" t="inlineStr">
        <is>
          <t xml:space="preserve">   - Pro baru</t>
        </is>
      </c>
      <c r="C7" s="8">
        <f>C4*'Asumsi'!$C$34</f>
        <v/>
      </c>
      <c r="D7" s="8">
        <f>D4*'Asumsi'!$C$34</f>
        <v/>
      </c>
      <c r="E7" s="8">
        <f>E4*'Asumsi'!$C$34</f>
        <v/>
      </c>
      <c r="F7" s="8">
        <f>F4*'Asumsi'!$C$34</f>
        <v/>
      </c>
      <c r="G7" s="8">
        <f>G4*'Asumsi'!$C$34</f>
        <v/>
      </c>
      <c r="H7" s="8">
        <f>H4*'Asumsi'!$C$34</f>
        <v/>
      </c>
      <c r="I7" s="8">
        <f>I4*'Asumsi'!$C$34</f>
        <v/>
      </c>
      <c r="J7" s="8">
        <f>J4*'Asumsi'!$C$34</f>
        <v/>
      </c>
      <c r="K7" s="8">
        <f>K4*'Asumsi'!$C$34</f>
        <v/>
      </c>
      <c r="L7" s="8">
        <f>L4*'Asumsi'!$C$34</f>
        <v/>
      </c>
      <c r="M7" s="8">
        <f>M4*'Asumsi'!$C$34</f>
        <v/>
      </c>
      <c r="N7" s="8">
        <f>N4*'Asumsi'!$C$34</f>
        <v/>
      </c>
      <c r="O7" s="8">
        <f>O4*'Asumsi'!$C$34</f>
        <v/>
      </c>
      <c r="P7" s="8">
        <f>P4*'Asumsi'!$C$34</f>
        <v/>
      </c>
      <c r="Q7" s="8">
        <f>Q4*'Asumsi'!$C$34</f>
        <v/>
      </c>
      <c r="R7" s="8">
        <f>R4*'Asumsi'!$C$34</f>
        <v/>
      </c>
      <c r="S7" s="8">
        <f>S4*'Asumsi'!$C$34</f>
        <v/>
      </c>
      <c r="T7" s="8">
        <f>T4*'Asumsi'!$C$34</f>
        <v/>
      </c>
      <c r="U7" s="8">
        <f>U4*'Asumsi'!$C$34</f>
        <v/>
      </c>
      <c r="V7" s="8">
        <f>V4*'Asumsi'!$C$34</f>
        <v/>
      </c>
      <c r="W7" s="8">
        <f>W4*'Asumsi'!$C$34</f>
        <v/>
      </c>
      <c r="X7" s="8">
        <f>X4*'Asumsi'!$C$34</f>
        <v/>
      </c>
      <c r="Y7" s="8">
        <f>Y4*'Asumsi'!$C$34</f>
        <v/>
      </c>
      <c r="Z7" s="8">
        <f>Z4*'Asumsi'!$C$34</f>
        <v/>
      </c>
      <c r="AA7" s="8">
        <f>AA4*'Asumsi'!$C$34</f>
        <v/>
      </c>
      <c r="AB7" s="8">
        <f>AB4*'Asumsi'!$C$34</f>
        <v/>
      </c>
      <c r="AC7" s="8">
        <f>AC4*'Asumsi'!$C$34</f>
        <v/>
      </c>
      <c r="AD7" s="8">
        <f>AD4*'Asumsi'!$C$34</f>
        <v/>
      </c>
      <c r="AE7" s="8">
        <f>AE4*'Asumsi'!$C$34</f>
        <v/>
      </c>
      <c r="AF7" s="8">
        <f>AF4*'Asumsi'!$C$34</f>
        <v/>
      </c>
      <c r="AG7" s="8">
        <f>AG4*'Asumsi'!$C$34</f>
        <v/>
      </c>
      <c r="AH7" s="8">
        <f>AH4*'Asumsi'!$C$34</f>
        <v/>
      </c>
      <c r="AI7" s="8">
        <f>AI4*'Asumsi'!$C$34</f>
        <v/>
      </c>
      <c r="AJ7" s="8">
        <f>AJ4*'Asumsi'!$C$34</f>
        <v/>
      </c>
      <c r="AK7" s="8">
        <f>AK4*'Asumsi'!$C$34</f>
        <v/>
      </c>
      <c r="AL7" s="8">
        <f>AL4*'Asumsi'!$C$34</f>
        <v/>
      </c>
    </row>
    <row r="8">
      <c r="B8" s="30" t="inlineStr">
        <is>
          <t>PELANGGAN AKTIF</t>
        </is>
      </c>
    </row>
    <row r="9">
      <c r="B9" t="inlineStr">
        <is>
          <t xml:space="preserve">   Aktif Starter</t>
        </is>
      </c>
      <c r="C9" s="8">
        <f>'Asumsi'!$C$28*'Asumsi'!$C$32+C5</f>
        <v/>
      </c>
      <c r="D9" s="8">
        <f>C9*(1-'Asumsi'!$C$31)+D5</f>
        <v/>
      </c>
      <c r="E9" s="8">
        <f>D9*(1-'Asumsi'!$C$31)+E5</f>
        <v/>
      </c>
      <c r="F9" s="8">
        <f>E9*(1-'Asumsi'!$C$31)+F5</f>
        <v/>
      </c>
      <c r="G9" s="8">
        <f>F9*(1-'Asumsi'!$C$31)+G5</f>
        <v/>
      </c>
      <c r="H9" s="8">
        <f>G9*(1-'Asumsi'!$C$31)+H5</f>
        <v/>
      </c>
      <c r="I9" s="8">
        <f>H9*(1-'Asumsi'!$C$31)+I5</f>
        <v/>
      </c>
      <c r="J9" s="8">
        <f>I9*(1-'Asumsi'!$C$31)+J5</f>
        <v/>
      </c>
      <c r="K9" s="8">
        <f>J9*(1-'Asumsi'!$C$31)+K5</f>
        <v/>
      </c>
      <c r="L9" s="8">
        <f>K9*(1-'Asumsi'!$C$31)+L5</f>
        <v/>
      </c>
      <c r="M9" s="8">
        <f>L9*(1-'Asumsi'!$C$31)+M5</f>
        <v/>
      </c>
      <c r="N9" s="8">
        <f>M9*(1-'Asumsi'!$C$31)+N5</f>
        <v/>
      </c>
      <c r="O9" s="8">
        <f>N9*(1-'Asumsi'!$C$31)+O5</f>
        <v/>
      </c>
      <c r="P9" s="8">
        <f>O9*(1-'Asumsi'!$C$31)+P5</f>
        <v/>
      </c>
      <c r="Q9" s="8">
        <f>P9*(1-'Asumsi'!$C$31)+Q5</f>
        <v/>
      </c>
      <c r="R9" s="8">
        <f>Q9*(1-'Asumsi'!$C$31)+R5</f>
        <v/>
      </c>
      <c r="S9" s="8">
        <f>R9*(1-'Asumsi'!$C$31)+S5</f>
        <v/>
      </c>
      <c r="T9" s="8">
        <f>S9*(1-'Asumsi'!$C$31)+T5</f>
        <v/>
      </c>
      <c r="U9" s="8">
        <f>T9*(1-'Asumsi'!$C$31)+U5</f>
        <v/>
      </c>
      <c r="V9" s="8">
        <f>U9*(1-'Asumsi'!$C$31)+V5</f>
        <v/>
      </c>
      <c r="W9" s="8">
        <f>V9*(1-'Asumsi'!$C$31)+W5</f>
        <v/>
      </c>
      <c r="X9" s="8">
        <f>W9*(1-'Asumsi'!$C$31)+X5</f>
        <v/>
      </c>
      <c r="Y9" s="8">
        <f>X9*(1-'Asumsi'!$C$31)+Y5</f>
        <v/>
      </c>
      <c r="Z9" s="8">
        <f>Y9*(1-'Asumsi'!$C$31)+Z5</f>
        <v/>
      </c>
      <c r="AA9" s="8">
        <f>Z9*(1-'Asumsi'!$C$31)+AA5</f>
        <v/>
      </c>
      <c r="AB9" s="8">
        <f>AA9*(1-'Asumsi'!$C$31)+AB5</f>
        <v/>
      </c>
      <c r="AC9" s="8">
        <f>AB9*(1-'Asumsi'!$C$31)+AC5</f>
        <v/>
      </c>
      <c r="AD9" s="8">
        <f>AC9*(1-'Asumsi'!$C$31)+AD5</f>
        <v/>
      </c>
      <c r="AE9" s="8">
        <f>AD9*(1-'Asumsi'!$C$31)+AE5</f>
        <v/>
      </c>
      <c r="AF9" s="8">
        <f>AE9*(1-'Asumsi'!$C$31)+AF5</f>
        <v/>
      </c>
      <c r="AG9" s="8">
        <f>AF9*(1-'Asumsi'!$C$31)+AG5</f>
        <v/>
      </c>
      <c r="AH9" s="8">
        <f>AG9*(1-'Asumsi'!$C$31)+AH5</f>
        <v/>
      </c>
      <c r="AI9" s="8">
        <f>AH9*(1-'Asumsi'!$C$31)+AI5</f>
        <v/>
      </c>
      <c r="AJ9" s="8">
        <f>AI9*(1-'Asumsi'!$C$31)+AJ5</f>
        <v/>
      </c>
      <c r="AK9" s="8">
        <f>AJ9*(1-'Asumsi'!$C$31)+AK5</f>
        <v/>
      </c>
      <c r="AL9" s="8">
        <f>AK9*(1-'Asumsi'!$C$31)+AL5</f>
        <v/>
      </c>
    </row>
    <row r="10">
      <c r="B10" t="inlineStr">
        <is>
          <t xml:space="preserve">   Aktif Growth</t>
        </is>
      </c>
      <c r="C10" s="8">
        <f>'Asumsi'!$C$28*'Asumsi'!$C$33+C6</f>
        <v/>
      </c>
      <c r="D10" s="8">
        <f>C10*(1-'Asumsi'!$C$31)+D6</f>
        <v/>
      </c>
      <c r="E10" s="8">
        <f>D10*(1-'Asumsi'!$C$31)+E6</f>
        <v/>
      </c>
      <c r="F10" s="8">
        <f>E10*(1-'Asumsi'!$C$31)+F6</f>
        <v/>
      </c>
      <c r="G10" s="8">
        <f>F10*(1-'Asumsi'!$C$31)+G6</f>
        <v/>
      </c>
      <c r="H10" s="8">
        <f>G10*(1-'Asumsi'!$C$31)+H6</f>
        <v/>
      </c>
      <c r="I10" s="8">
        <f>H10*(1-'Asumsi'!$C$31)+I6</f>
        <v/>
      </c>
      <c r="J10" s="8">
        <f>I10*(1-'Asumsi'!$C$31)+J6</f>
        <v/>
      </c>
      <c r="K10" s="8">
        <f>J10*(1-'Asumsi'!$C$31)+K6</f>
        <v/>
      </c>
      <c r="L10" s="8">
        <f>K10*(1-'Asumsi'!$C$31)+L6</f>
        <v/>
      </c>
      <c r="M10" s="8">
        <f>L10*(1-'Asumsi'!$C$31)+M6</f>
        <v/>
      </c>
      <c r="N10" s="8">
        <f>M10*(1-'Asumsi'!$C$31)+N6</f>
        <v/>
      </c>
      <c r="O10" s="8">
        <f>N10*(1-'Asumsi'!$C$31)+O6</f>
        <v/>
      </c>
      <c r="P10" s="8">
        <f>O10*(1-'Asumsi'!$C$31)+P6</f>
        <v/>
      </c>
      <c r="Q10" s="8">
        <f>P10*(1-'Asumsi'!$C$31)+Q6</f>
        <v/>
      </c>
      <c r="R10" s="8">
        <f>Q10*(1-'Asumsi'!$C$31)+R6</f>
        <v/>
      </c>
      <c r="S10" s="8">
        <f>R10*(1-'Asumsi'!$C$31)+S6</f>
        <v/>
      </c>
      <c r="T10" s="8">
        <f>S10*(1-'Asumsi'!$C$31)+T6</f>
        <v/>
      </c>
      <c r="U10" s="8">
        <f>T10*(1-'Asumsi'!$C$31)+U6</f>
        <v/>
      </c>
      <c r="V10" s="8">
        <f>U10*(1-'Asumsi'!$C$31)+V6</f>
        <v/>
      </c>
      <c r="W10" s="8">
        <f>V10*(1-'Asumsi'!$C$31)+W6</f>
        <v/>
      </c>
      <c r="X10" s="8">
        <f>W10*(1-'Asumsi'!$C$31)+X6</f>
        <v/>
      </c>
      <c r="Y10" s="8">
        <f>X10*(1-'Asumsi'!$C$31)+Y6</f>
        <v/>
      </c>
      <c r="Z10" s="8">
        <f>Y10*(1-'Asumsi'!$C$31)+Z6</f>
        <v/>
      </c>
      <c r="AA10" s="8">
        <f>Z10*(1-'Asumsi'!$C$31)+AA6</f>
        <v/>
      </c>
      <c r="AB10" s="8">
        <f>AA10*(1-'Asumsi'!$C$31)+AB6</f>
        <v/>
      </c>
      <c r="AC10" s="8">
        <f>AB10*(1-'Asumsi'!$C$31)+AC6</f>
        <v/>
      </c>
      <c r="AD10" s="8">
        <f>AC10*(1-'Asumsi'!$C$31)+AD6</f>
        <v/>
      </c>
      <c r="AE10" s="8">
        <f>AD10*(1-'Asumsi'!$C$31)+AE6</f>
        <v/>
      </c>
      <c r="AF10" s="8">
        <f>AE10*(1-'Asumsi'!$C$31)+AF6</f>
        <v/>
      </c>
      <c r="AG10" s="8">
        <f>AF10*(1-'Asumsi'!$C$31)+AG6</f>
        <v/>
      </c>
      <c r="AH10" s="8">
        <f>AG10*(1-'Asumsi'!$C$31)+AH6</f>
        <v/>
      </c>
      <c r="AI10" s="8">
        <f>AH10*(1-'Asumsi'!$C$31)+AI6</f>
        <v/>
      </c>
      <c r="AJ10" s="8">
        <f>AI10*(1-'Asumsi'!$C$31)+AJ6</f>
        <v/>
      </c>
      <c r="AK10" s="8">
        <f>AJ10*(1-'Asumsi'!$C$31)+AK6</f>
        <v/>
      </c>
      <c r="AL10" s="8">
        <f>AK10*(1-'Asumsi'!$C$31)+AL6</f>
        <v/>
      </c>
    </row>
    <row r="11">
      <c r="B11" t="inlineStr">
        <is>
          <t xml:space="preserve">   Aktif Pro</t>
        </is>
      </c>
      <c r="C11" s="8">
        <f>'Asumsi'!$C$28*'Asumsi'!$C$34+C7</f>
        <v/>
      </c>
      <c r="D11" s="8">
        <f>C11*(1-'Asumsi'!$C$31)+D7</f>
        <v/>
      </c>
      <c r="E11" s="8">
        <f>D11*(1-'Asumsi'!$C$31)+E7</f>
        <v/>
      </c>
      <c r="F11" s="8">
        <f>E11*(1-'Asumsi'!$C$31)+F7</f>
        <v/>
      </c>
      <c r="G11" s="8">
        <f>F11*(1-'Asumsi'!$C$31)+G7</f>
        <v/>
      </c>
      <c r="H11" s="8">
        <f>G11*(1-'Asumsi'!$C$31)+H7</f>
        <v/>
      </c>
      <c r="I11" s="8">
        <f>H11*(1-'Asumsi'!$C$31)+I7</f>
        <v/>
      </c>
      <c r="J11" s="8">
        <f>I11*(1-'Asumsi'!$C$31)+J7</f>
        <v/>
      </c>
      <c r="K11" s="8">
        <f>J11*(1-'Asumsi'!$C$31)+K7</f>
        <v/>
      </c>
      <c r="L11" s="8">
        <f>K11*(1-'Asumsi'!$C$31)+L7</f>
        <v/>
      </c>
      <c r="M11" s="8">
        <f>L11*(1-'Asumsi'!$C$31)+M7</f>
        <v/>
      </c>
      <c r="N11" s="8">
        <f>M11*(1-'Asumsi'!$C$31)+N7</f>
        <v/>
      </c>
      <c r="O11" s="8">
        <f>N11*(1-'Asumsi'!$C$31)+O7</f>
        <v/>
      </c>
      <c r="P11" s="8">
        <f>O11*(1-'Asumsi'!$C$31)+P7</f>
        <v/>
      </c>
      <c r="Q11" s="8">
        <f>P11*(1-'Asumsi'!$C$31)+Q7</f>
        <v/>
      </c>
      <c r="R11" s="8">
        <f>Q11*(1-'Asumsi'!$C$31)+R7</f>
        <v/>
      </c>
      <c r="S11" s="8">
        <f>R11*(1-'Asumsi'!$C$31)+S7</f>
        <v/>
      </c>
      <c r="T11" s="8">
        <f>S11*(1-'Asumsi'!$C$31)+T7</f>
        <v/>
      </c>
      <c r="U11" s="8">
        <f>T11*(1-'Asumsi'!$C$31)+U7</f>
        <v/>
      </c>
      <c r="V11" s="8">
        <f>U11*(1-'Asumsi'!$C$31)+V7</f>
        <v/>
      </c>
      <c r="W11" s="8">
        <f>V11*(1-'Asumsi'!$C$31)+W7</f>
        <v/>
      </c>
      <c r="X11" s="8">
        <f>W11*(1-'Asumsi'!$C$31)+X7</f>
        <v/>
      </c>
      <c r="Y11" s="8">
        <f>X11*(1-'Asumsi'!$C$31)+Y7</f>
        <v/>
      </c>
      <c r="Z11" s="8">
        <f>Y11*(1-'Asumsi'!$C$31)+Z7</f>
        <v/>
      </c>
      <c r="AA11" s="8">
        <f>Z11*(1-'Asumsi'!$C$31)+AA7</f>
        <v/>
      </c>
      <c r="AB11" s="8">
        <f>AA11*(1-'Asumsi'!$C$31)+AB7</f>
        <v/>
      </c>
      <c r="AC11" s="8">
        <f>AB11*(1-'Asumsi'!$C$31)+AC7</f>
        <v/>
      </c>
      <c r="AD11" s="8">
        <f>AC11*(1-'Asumsi'!$C$31)+AD7</f>
        <v/>
      </c>
      <c r="AE11" s="8">
        <f>AD11*(1-'Asumsi'!$C$31)+AE7</f>
        <v/>
      </c>
      <c r="AF11" s="8">
        <f>AE11*(1-'Asumsi'!$C$31)+AF7</f>
        <v/>
      </c>
      <c r="AG11" s="8">
        <f>AF11*(1-'Asumsi'!$C$31)+AG7</f>
        <v/>
      </c>
      <c r="AH11" s="8">
        <f>AG11*(1-'Asumsi'!$C$31)+AH7</f>
        <v/>
      </c>
      <c r="AI11" s="8">
        <f>AH11*(1-'Asumsi'!$C$31)+AI7</f>
        <v/>
      </c>
      <c r="AJ11" s="8">
        <f>AI11*(1-'Asumsi'!$C$31)+AJ7</f>
        <v/>
      </c>
      <c r="AK11" s="8">
        <f>AJ11*(1-'Asumsi'!$C$31)+AK7</f>
        <v/>
      </c>
      <c r="AL11" s="8">
        <f>AK11*(1-'Asumsi'!$C$31)+AL7</f>
        <v/>
      </c>
    </row>
    <row r="12">
      <c r="B12" s="30" t="inlineStr">
        <is>
          <t>Total pelanggan aktif</t>
        </is>
      </c>
      <c r="C12" s="8">
        <f>SUM(C9:C11)</f>
        <v/>
      </c>
      <c r="D12" s="8">
        <f>SUM(D9:D11)</f>
        <v/>
      </c>
      <c r="E12" s="8">
        <f>SUM(E9:E11)</f>
        <v/>
      </c>
      <c r="F12" s="8">
        <f>SUM(F9:F11)</f>
        <v/>
      </c>
      <c r="G12" s="8">
        <f>SUM(G9:G11)</f>
        <v/>
      </c>
      <c r="H12" s="8">
        <f>SUM(H9:H11)</f>
        <v/>
      </c>
      <c r="I12" s="8">
        <f>SUM(I9:I11)</f>
        <v/>
      </c>
      <c r="J12" s="8">
        <f>SUM(J9:J11)</f>
        <v/>
      </c>
      <c r="K12" s="8">
        <f>SUM(K9:K11)</f>
        <v/>
      </c>
      <c r="L12" s="8">
        <f>SUM(L9:L11)</f>
        <v/>
      </c>
      <c r="M12" s="8">
        <f>SUM(M9:M11)</f>
        <v/>
      </c>
      <c r="N12" s="8">
        <f>SUM(N9:N11)</f>
        <v/>
      </c>
      <c r="O12" s="8">
        <f>SUM(O9:O11)</f>
        <v/>
      </c>
      <c r="P12" s="8">
        <f>SUM(P9:P11)</f>
        <v/>
      </c>
      <c r="Q12" s="8">
        <f>SUM(Q9:Q11)</f>
        <v/>
      </c>
      <c r="R12" s="8">
        <f>SUM(R9:R11)</f>
        <v/>
      </c>
      <c r="S12" s="8">
        <f>SUM(S9:S11)</f>
        <v/>
      </c>
      <c r="T12" s="8">
        <f>SUM(T9:T11)</f>
        <v/>
      </c>
      <c r="U12" s="8">
        <f>SUM(U9:U11)</f>
        <v/>
      </c>
      <c r="V12" s="8">
        <f>SUM(V9:V11)</f>
        <v/>
      </c>
      <c r="W12" s="8">
        <f>SUM(W9:W11)</f>
        <v/>
      </c>
      <c r="X12" s="8">
        <f>SUM(X9:X11)</f>
        <v/>
      </c>
      <c r="Y12" s="8">
        <f>SUM(Y9:Y11)</f>
        <v/>
      </c>
      <c r="Z12" s="8">
        <f>SUM(Z9:Z11)</f>
        <v/>
      </c>
      <c r="AA12" s="8">
        <f>SUM(AA9:AA11)</f>
        <v/>
      </c>
      <c r="AB12" s="8">
        <f>SUM(AB9:AB11)</f>
        <v/>
      </c>
      <c r="AC12" s="8">
        <f>SUM(AC9:AC11)</f>
        <v/>
      </c>
      <c r="AD12" s="8">
        <f>SUM(AD9:AD11)</f>
        <v/>
      </c>
      <c r="AE12" s="8">
        <f>SUM(AE9:AE11)</f>
        <v/>
      </c>
      <c r="AF12" s="8">
        <f>SUM(AF9:AF11)</f>
        <v/>
      </c>
      <c r="AG12" s="8">
        <f>SUM(AG9:AG11)</f>
        <v/>
      </c>
      <c r="AH12" s="8">
        <f>SUM(AH9:AH11)</f>
        <v/>
      </c>
      <c r="AI12" s="8">
        <f>SUM(AI9:AI11)</f>
        <v/>
      </c>
      <c r="AJ12" s="8">
        <f>SUM(AJ9:AJ11)</f>
        <v/>
      </c>
      <c r="AK12" s="8">
        <f>SUM(AK9:AK11)</f>
        <v/>
      </c>
      <c r="AL12" s="8">
        <f>SUM(AL9:AL11)</f>
        <v/>
      </c>
    </row>
    <row r="14">
      <c r="B14" t="inlineStr">
        <is>
          <t>MRR Starter</t>
        </is>
      </c>
      <c r="C14" s="6">
        <f>C9*'Asumsi'!$C$23</f>
        <v/>
      </c>
      <c r="D14" s="6">
        <f>D9*'Asumsi'!$C$23</f>
        <v/>
      </c>
      <c r="E14" s="6">
        <f>E9*'Asumsi'!$C$23</f>
        <v/>
      </c>
      <c r="F14" s="6">
        <f>F9*'Asumsi'!$C$23</f>
        <v/>
      </c>
      <c r="G14" s="6">
        <f>G9*'Asumsi'!$C$23</f>
        <v/>
      </c>
      <c r="H14" s="6">
        <f>H9*'Asumsi'!$C$23</f>
        <v/>
      </c>
      <c r="I14" s="6">
        <f>I9*'Asumsi'!$C$23</f>
        <v/>
      </c>
      <c r="J14" s="6">
        <f>J9*'Asumsi'!$C$23</f>
        <v/>
      </c>
      <c r="K14" s="6">
        <f>K9*'Asumsi'!$C$23</f>
        <v/>
      </c>
      <c r="L14" s="6">
        <f>L9*'Asumsi'!$C$23</f>
        <v/>
      </c>
      <c r="M14" s="6">
        <f>M9*'Asumsi'!$C$23</f>
        <v/>
      </c>
      <c r="N14" s="6">
        <f>N9*'Asumsi'!$C$23</f>
        <v/>
      </c>
      <c r="O14" s="6">
        <f>O9*'Asumsi'!$C$23</f>
        <v/>
      </c>
      <c r="P14" s="6">
        <f>P9*'Asumsi'!$C$23</f>
        <v/>
      </c>
      <c r="Q14" s="6">
        <f>Q9*'Asumsi'!$C$23</f>
        <v/>
      </c>
      <c r="R14" s="6">
        <f>R9*'Asumsi'!$C$23</f>
        <v/>
      </c>
      <c r="S14" s="6">
        <f>S9*'Asumsi'!$C$23</f>
        <v/>
      </c>
      <c r="T14" s="6">
        <f>T9*'Asumsi'!$C$23</f>
        <v/>
      </c>
      <c r="U14" s="6">
        <f>U9*'Asumsi'!$C$23</f>
        <v/>
      </c>
      <c r="V14" s="6">
        <f>V9*'Asumsi'!$C$23</f>
        <v/>
      </c>
      <c r="W14" s="6">
        <f>W9*'Asumsi'!$C$23</f>
        <v/>
      </c>
      <c r="X14" s="6">
        <f>X9*'Asumsi'!$C$23</f>
        <v/>
      </c>
      <c r="Y14" s="6">
        <f>Y9*'Asumsi'!$C$23</f>
        <v/>
      </c>
      <c r="Z14" s="6">
        <f>Z9*'Asumsi'!$C$23</f>
        <v/>
      </c>
      <c r="AA14" s="6">
        <f>AA9*'Asumsi'!$C$23</f>
        <v/>
      </c>
      <c r="AB14" s="6">
        <f>AB9*'Asumsi'!$C$23</f>
        <v/>
      </c>
      <c r="AC14" s="6">
        <f>AC9*'Asumsi'!$C$23</f>
        <v/>
      </c>
      <c r="AD14" s="6">
        <f>AD9*'Asumsi'!$C$23</f>
        <v/>
      </c>
      <c r="AE14" s="6">
        <f>AE9*'Asumsi'!$C$23</f>
        <v/>
      </c>
      <c r="AF14" s="6">
        <f>AF9*'Asumsi'!$C$23</f>
        <v/>
      </c>
      <c r="AG14" s="6">
        <f>AG9*'Asumsi'!$C$23</f>
        <v/>
      </c>
      <c r="AH14" s="6">
        <f>AH9*'Asumsi'!$C$23</f>
        <v/>
      </c>
      <c r="AI14" s="6">
        <f>AI9*'Asumsi'!$C$23</f>
        <v/>
      </c>
      <c r="AJ14" s="6">
        <f>AJ9*'Asumsi'!$C$23</f>
        <v/>
      </c>
      <c r="AK14" s="6">
        <f>AK9*'Asumsi'!$C$23</f>
        <v/>
      </c>
      <c r="AL14" s="6">
        <f>AL9*'Asumsi'!$C$23</f>
        <v/>
      </c>
    </row>
    <row r="15">
      <c r="B15" t="inlineStr">
        <is>
          <t>MRR Growth</t>
        </is>
      </c>
      <c r="C15" s="6">
        <f>C10*'Asumsi'!$C$24</f>
        <v/>
      </c>
      <c r="D15" s="6">
        <f>D10*'Asumsi'!$C$24</f>
        <v/>
      </c>
      <c r="E15" s="6">
        <f>E10*'Asumsi'!$C$24</f>
        <v/>
      </c>
      <c r="F15" s="6">
        <f>F10*'Asumsi'!$C$24</f>
        <v/>
      </c>
      <c r="G15" s="6">
        <f>G10*'Asumsi'!$C$24</f>
        <v/>
      </c>
      <c r="H15" s="6">
        <f>H10*'Asumsi'!$C$24</f>
        <v/>
      </c>
      <c r="I15" s="6">
        <f>I10*'Asumsi'!$C$24</f>
        <v/>
      </c>
      <c r="J15" s="6">
        <f>J10*'Asumsi'!$C$24</f>
        <v/>
      </c>
      <c r="K15" s="6">
        <f>K10*'Asumsi'!$C$24</f>
        <v/>
      </c>
      <c r="L15" s="6">
        <f>L10*'Asumsi'!$C$24</f>
        <v/>
      </c>
      <c r="M15" s="6">
        <f>M10*'Asumsi'!$C$24</f>
        <v/>
      </c>
      <c r="N15" s="6">
        <f>N10*'Asumsi'!$C$24</f>
        <v/>
      </c>
      <c r="O15" s="6">
        <f>O10*'Asumsi'!$C$24</f>
        <v/>
      </c>
      <c r="P15" s="6">
        <f>P10*'Asumsi'!$C$24</f>
        <v/>
      </c>
      <c r="Q15" s="6">
        <f>Q10*'Asumsi'!$C$24</f>
        <v/>
      </c>
      <c r="R15" s="6">
        <f>R10*'Asumsi'!$C$24</f>
        <v/>
      </c>
      <c r="S15" s="6">
        <f>S10*'Asumsi'!$C$24</f>
        <v/>
      </c>
      <c r="T15" s="6">
        <f>T10*'Asumsi'!$C$24</f>
        <v/>
      </c>
      <c r="U15" s="6">
        <f>U10*'Asumsi'!$C$24</f>
        <v/>
      </c>
      <c r="V15" s="6">
        <f>V10*'Asumsi'!$C$24</f>
        <v/>
      </c>
      <c r="W15" s="6">
        <f>W10*'Asumsi'!$C$24</f>
        <v/>
      </c>
      <c r="X15" s="6">
        <f>X10*'Asumsi'!$C$24</f>
        <v/>
      </c>
      <c r="Y15" s="6">
        <f>Y10*'Asumsi'!$C$24</f>
        <v/>
      </c>
      <c r="Z15" s="6">
        <f>Z10*'Asumsi'!$C$24</f>
        <v/>
      </c>
      <c r="AA15" s="6">
        <f>AA10*'Asumsi'!$C$24</f>
        <v/>
      </c>
      <c r="AB15" s="6">
        <f>AB10*'Asumsi'!$C$24</f>
        <v/>
      </c>
      <c r="AC15" s="6">
        <f>AC10*'Asumsi'!$C$24</f>
        <v/>
      </c>
      <c r="AD15" s="6">
        <f>AD10*'Asumsi'!$C$24</f>
        <v/>
      </c>
      <c r="AE15" s="6">
        <f>AE10*'Asumsi'!$C$24</f>
        <v/>
      </c>
      <c r="AF15" s="6">
        <f>AF10*'Asumsi'!$C$24</f>
        <v/>
      </c>
      <c r="AG15" s="6">
        <f>AG10*'Asumsi'!$C$24</f>
        <v/>
      </c>
      <c r="AH15" s="6">
        <f>AH10*'Asumsi'!$C$24</f>
        <v/>
      </c>
      <c r="AI15" s="6">
        <f>AI10*'Asumsi'!$C$24</f>
        <v/>
      </c>
      <c r="AJ15" s="6">
        <f>AJ10*'Asumsi'!$C$24</f>
        <v/>
      </c>
      <c r="AK15" s="6">
        <f>AK10*'Asumsi'!$C$24</f>
        <v/>
      </c>
      <c r="AL15" s="6">
        <f>AL10*'Asumsi'!$C$24</f>
        <v/>
      </c>
    </row>
    <row r="16">
      <c r="B16" t="inlineStr">
        <is>
          <t>MRR Pro</t>
        </is>
      </c>
      <c r="C16" s="6">
        <f>C11*'Asumsi'!$C$25</f>
        <v/>
      </c>
      <c r="D16" s="6">
        <f>D11*'Asumsi'!$C$25</f>
        <v/>
      </c>
      <c r="E16" s="6">
        <f>E11*'Asumsi'!$C$25</f>
        <v/>
      </c>
      <c r="F16" s="6">
        <f>F11*'Asumsi'!$C$25</f>
        <v/>
      </c>
      <c r="G16" s="6">
        <f>G11*'Asumsi'!$C$25</f>
        <v/>
      </c>
      <c r="H16" s="6">
        <f>H11*'Asumsi'!$C$25</f>
        <v/>
      </c>
      <c r="I16" s="6">
        <f>I11*'Asumsi'!$C$25</f>
        <v/>
      </c>
      <c r="J16" s="6">
        <f>J11*'Asumsi'!$C$25</f>
        <v/>
      </c>
      <c r="K16" s="6">
        <f>K11*'Asumsi'!$C$25</f>
        <v/>
      </c>
      <c r="L16" s="6">
        <f>L11*'Asumsi'!$C$25</f>
        <v/>
      </c>
      <c r="M16" s="6">
        <f>M11*'Asumsi'!$C$25</f>
        <v/>
      </c>
      <c r="N16" s="6">
        <f>N11*'Asumsi'!$C$25</f>
        <v/>
      </c>
      <c r="O16" s="6">
        <f>O11*'Asumsi'!$C$25</f>
        <v/>
      </c>
      <c r="P16" s="6">
        <f>P11*'Asumsi'!$C$25</f>
        <v/>
      </c>
      <c r="Q16" s="6">
        <f>Q11*'Asumsi'!$C$25</f>
        <v/>
      </c>
      <c r="R16" s="6">
        <f>R11*'Asumsi'!$C$25</f>
        <v/>
      </c>
      <c r="S16" s="6">
        <f>S11*'Asumsi'!$C$25</f>
        <v/>
      </c>
      <c r="T16" s="6">
        <f>T11*'Asumsi'!$C$25</f>
        <v/>
      </c>
      <c r="U16" s="6">
        <f>U11*'Asumsi'!$C$25</f>
        <v/>
      </c>
      <c r="V16" s="6">
        <f>V11*'Asumsi'!$C$25</f>
        <v/>
      </c>
      <c r="W16" s="6">
        <f>W11*'Asumsi'!$C$25</f>
        <v/>
      </c>
      <c r="X16" s="6">
        <f>X11*'Asumsi'!$C$25</f>
        <v/>
      </c>
      <c r="Y16" s="6">
        <f>Y11*'Asumsi'!$C$25</f>
        <v/>
      </c>
      <c r="Z16" s="6">
        <f>Z11*'Asumsi'!$C$25</f>
        <v/>
      </c>
      <c r="AA16" s="6">
        <f>AA11*'Asumsi'!$C$25</f>
        <v/>
      </c>
      <c r="AB16" s="6">
        <f>AB11*'Asumsi'!$C$25</f>
        <v/>
      </c>
      <c r="AC16" s="6">
        <f>AC11*'Asumsi'!$C$25</f>
        <v/>
      </c>
      <c r="AD16" s="6">
        <f>AD11*'Asumsi'!$C$25</f>
        <v/>
      </c>
      <c r="AE16" s="6">
        <f>AE11*'Asumsi'!$C$25</f>
        <v/>
      </c>
      <c r="AF16" s="6">
        <f>AF11*'Asumsi'!$C$25</f>
        <v/>
      </c>
      <c r="AG16" s="6">
        <f>AG11*'Asumsi'!$C$25</f>
        <v/>
      </c>
      <c r="AH16" s="6">
        <f>AH11*'Asumsi'!$C$25</f>
        <v/>
      </c>
      <c r="AI16" s="6">
        <f>AI11*'Asumsi'!$C$25</f>
        <v/>
      </c>
      <c r="AJ16" s="6">
        <f>AJ11*'Asumsi'!$C$25</f>
        <v/>
      </c>
      <c r="AK16" s="6">
        <f>AK11*'Asumsi'!$C$25</f>
        <v/>
      </c>
      <c r="AL16" s="6">
        <f>AL11*'Asumsi'!$C$25</f>
        <v/>
      </c>
    </row>
    <row r="17">
      <c r="B17" s="30" t="inlineStr">
        <is>
          <t>Total MRR</t>
        </is>
      </c>
      <c r="C17" s="6">
        <f>SUM(C14:C16)</f>
        <v/>
      </c>
      <c r="D17" s="6">
        <f>SUM(D14:D16)</f>
        <v/>
      </c>
      <c r="E17" s="6">
        <f>SUM(E14:E16)</f>
        <v/>
      </c>
      <c r="F17" s="6">
        <f>SUM(F14:F16)</f>
        <v/>
      </c>
      <c r="G17" s="6">
        <f>SUM(G14:G16)</f>
        <v/>
      </c>
      <c r="H17" s="6">
        <f>SUM(H14:H16)</f>
        <v/>
      </c>
      <c r="I17" s="6">
        <f>SUM(I14:I16)</f>
        <v/>
      </c>
      <c r="J17" s="6">
        <f>SUM(J14:J16)</f>
        <v/>
      </c>
      <c r="K17" s="6">
        <f>SUM(K14:K16)</f>
        <v/>
      </c>
      <c r="L17" s="6">
        <f>SUM(L14:L16)</f>
        <v/>
      </c>
      <c r="M17" s="6">
        <f>SUM(M14:M16)</f>
        <v/>
      </c>
      <c r="N17" s="6">
        <f>SUM(N14:N16)</f>
        <v/>
      </c>
      <c r="O17" s="6">
        <f>SUM(O14:O16)</f>
        <v/>
      </c>
      <c r="P17" s="6">
        <f>SUM(P14:P16)</f>
        <v/>
      </c>
      <c r="Q17" s="6">
        <f>SUM(Q14:Q16)</f>
        <v/>
      </c>
      <c r="R17" s="6">
        <f>SUM(R14:R16)</f>
        <v/>
      </c>
      <c r="S17" s="6">
        <f>SUM(S14:S16)</f>
        <v/>
      </c>
      <c r="T17" s="6">
        <f>SUM(T14:T16)</f>
        <v/>
      </c>
      <c r="U17" s="6">
        <f>SUM(U14:U16)</f>
        <v/>
      </c>
      <c r="V17" s="6">
        <f>SUM(V14:V16)</f>
        <v/>
      </c>
      <c r="W17" s="6">
        <f>SUM(W14:W16)</f>
        <v/>
      </c>
      <c r="X17" s="6">
        <f>SUM(X14:X16)</f>
        <v/>
      </c>
      <c r="Y17" s="6">
        <f>SUM(Y14:Y16)</f>
        <v/>
      </c>
      <c r="Z17" s="6">
        <f>SUM(Z14:Z16)</f>
        <v/>
      </c>
      <c r="AA17" s="6">
        <f>SUM(AA14:AA16)</f>
        <v/>
      </c>
      <c r="AB17" s="6">
        <f>SUM(AB14:AB16)</f>
        <v/>
      </c>
      <c r="AC17" s="6">
        <f>SUM(AC14:AC16)</f>
        <v/>
      </c>
      <c r="AD17" s="6">
        <f>SUM(AD14:AD16)</f>
        <v/>
      </c>
      <c r="AE17" s="6">
        <f>SUM(AE14:AE16)</f>
        <v/>
      </c>
      <c r="AF17" s="6">
        <f>SUM(AF14:AF16)</f>
        <v/>
      </c>
      <c r="AG17" s="6">
        <f>SUM(AG14:AG16)</f>
        <v/>
      </c>
      <c r="AH17" s="6">
        <f>SUM(AH14:AH16)</f>
        <v/>
      </c>
      <c r="AI17" s="6">
        <f>SUM(AI14:AI16)</f>
        <v/>
      </c>
      <c r="AJ17" s="6">
        <f>SUM(AJ14:AJ16)</f>
        <v/>
      </c>
      <c r="AK17" s="6">
        <f>SUM(AK14:AK16)</f>
        <v/>
      </c>
      <c r="AL17" s="6">
        <f>SUM(AL14:AL16)</f>
        <v/>
      </c>
    </row>
    <row r="18">
      <c r="B18" s="30" t="inlineStr">
        <is>
          <t>ARR (MRR x 12)</t>
        </is>
      </c>
      <c r="C18" s="6">
        <f>C17*12</f>
        <v/>
      </c>
      <c r="D18" s="6">
        <f>D17*12</f>
        <v/>
      </c>
      <c r="E18" s="6">
        <f>E17*12</f>
        <v/>
      </c>
      <c r="F18" s="6">
        <f>F17*12</f>
        <v/>
      </c>
      <c r="G18" s="6">
        <f>G17*12</f>
        <v/>
      </c>
      <c r="H18" s="6">
        <f>H17*12</f>
        <v/>
      </c>
      <c r="I18" s="6">
        <f>I17*12</f>
        <v/>
      </c>
      <c r="J18" s="6">
        <f>J17*12</f>
        <v/>
      </c>
      <c r="K18" s="6">
        <f>K17*12</f>
        <v/>
      </c>
      <c r="L18" s="6">
        <f>L17*12</f>
        <v/>
      </c>
      <c r="M18" s="6">
        <f>M17*12</f>
        <v/>
      </c>
      <c r="N18" s="6">
        <f>N17*12</f>
        <v/>
      </c>
      <c r="O18" s="6">
        <f>O17*12</f>
        <v/>
      </c>
      <c r="P18" s="6">
        <f>P17*12</f>
        <v/>
      </c>
      <c r="Q18" s="6">
        <f>Q17*12</f>
        <v/>
      </c>
      <c r="R18" s="6">
        <f>R17*12</f>
        <v/>
      </c>
      <c r="S18" s="6">
        <f>S17*12</f>
        <v/>
      </c>
      <c r="T18" s="6">
        <f>T17*12</f>
        <v/>
      </c>
      <c r="U18" s="6">
        <f>U17*12</f>
        <v/>
      </c>
      <c r="V18" s="6">
        <f>V17*12</f>
        <v/>
      </c>
      <c r="W18" s="6">
        <f>W17*12</f>
        <v/>
      </c>
      <c r="X18" s="6">
        <f>X17*12</f>
        <v/>
      </c>
      <c r="Y18" s="6">
        <f>Y17*12</f>
        <v/>
      </c>
      <c r="Z18" s="6">
        <f>Z17*12</f>
        <v/>
      </c>
      <c r="AA18" s="6">
        <f>AA17*12</f>
        <v/>
      </c>
      <c r="AB18" s="6">
        <f>AB17*12</f>
        <v/>
      </c>
      <c r="AC18" s="6">
        <f>AC17*12</f>
        <v/>
      </c>
      <c r="AD18" s="6">
        <f>AD17*12</f>
        <v/>
      </c>
      <c r="AE18" s="6">
        <f>AE17*12</f>
        <v/>
      </c>
      <c r="AF18" s="6">
        <f>AF17*12</f>
        <v/>
      </c>
      <c r="AG18" s="6">
        <f>AG17*12</f>
        <v/>
      </c>
      <c r="AH18" s="6">
        <f>AH17*12</f>
        <v/>
      </c>
      <c r="AI18" s="6">
        <f>AI17*12</f>
        <v/>
      </c>
      <c r="AJ18" s="6">
        <f>AJ17*12</f>
        <v/>
      </c>
      <c r="AK18" s="6">
        <f>AK17*12</f>
        <v/>
      </c>
      <c r="AL18" s="6">
        <f>AL17*12</f>
        <v/>
      </c>
    </row>
    <row r="19">
      <c r="B19" s="31" t="inlineStr">
        <is>
          <t>PENDAPATAN bulanan</t>
        </is>
      </c>
      <c r="C19" s="6">
        <f>C17</f>
        <v/>
      </c>
      <c r="D19" s="6">
        <f>D17</f>
        <v/>
      </c>
      <c r="E19" s="6">
        <f>E17</f>
        <v/>
      </c>
      <c r="F19" s="6">
        <f>F17</f>
        <v/>
      </c>
      <c r="G19" s="6">
        <f>G17</f>
        <v/>
      </c>
      <c r="H19" s="6">
        <f>H17</f>
        <v/>
      </c>
      <c r="I19" s="6">
        <f>I17</f>
        <v/>
      </c>
      <c r="J19" s="6">
        <f>J17</f>
        <v/>
      </c>
      <c r="K19" s="6">
        <f>K17</f>
        <v/>
      </c>
      <c r="L19" s="6">
        <f>L17</f>
        <v/>
      </c>
      <c r="M19" s="6">
        <f>M17</f>
        <v/>
      </c>
      <c r="N19" s="6">
        <f>N17</f>
        <v/>
      </c>
      <c r="O19" s="6">
        <f>O17</f>
        <v/>
      </c>
      <c r="P19" s="6">
        <f>P17</f>
        <v/>
      </c>
      <c r="Q19" s="6">
        <f>Q17</f>
        <v/>
      </c>
      <c r="R19" s="6">
        <f>R17</f>
        <v/>
      </c>
      <c r="S19" s="6">
        <f>S17</f>
        <v/>
      </c>
      <c r="T19" s="6">
        <f>T17</f>
        <v/>
      </c>
      <c r="U19" s="6">
        <f>U17</f>
        <v/>
      </c>
      <c r="V19" s="6">
        <f>V17</f>
        <v/>
      </c>
      <c r="W19" s="6">
        <f>W17</f>
        <v/>
      </c>
      <c r="X19" s="6">
        <f>X17</f>
        <v/>
      </c>
      <c r="Y19" s="6">
        <f>Y17</f>
        <v/>
      </c>
      <c r="Z19" s="6">
        <f>Z17</f>
        <v/>
      </c>
      <c r="AA19" s="6">
        <f>AA17</f>
        <v/>
      </c>
      <c r="AB19" s="6">
        <f>AB17</f>
        <v/>
      </c>
      <c r="AC19" s="6">
        <f>AC17</f>
        <v/>
      </c>
      <c r="AD19" s="6">
        <f>AD17</f>
        <v/>
      </c>
      <c r="AE19" s="6">
        <f>AE17</f>
        <v/>
      </c>
      <c r="AF19" s="6">
        <f>AF17</f>
        <v/>
      </c>
      <c r="AG19" s="6">
        <f>AG17</f>
        <v/>
      </c>
      <c r="AH19" s="6">
        <f>AH17</f>
        <v/>
      </c>
      <c r="AI19" s="6">
        <f>AI17</f>
        <v/>
      </c>
      <c r="AJ19" s="6">
        <f>AJ17</f>
        <v/>
      </c>
      <c r="AK19" s="6">
        <f>AK17</f>
        <v/>
      </c>
      <c r="AL19" s="6">
        <f>AL17</f>
        <v/>
      </c>
    </row>
    <row r="21">
      <c r="B21" t="inlineStr">
        <is>
          <t>COGS - Biaya AI (Gemini)</t>
        </is>
      </c>
      <c r="C21" s="6">
        <f>(C9*'Asumsi'!$C$18+C10*'Asumsi'!$C$19+C11*'Asumsi'!$C$20)*'Unit Ekonomi'!$C$8</f>
        <v/>
      </c>
      <c r="D21" s="6">
        <f>(D9*'Asumsi'!$C$18+D10*'Asumsi'!$C$19+D11*'Asumsi'!$C$20)*'Unit Ekonomi'!$C$8</f>
        <v/>
      </c>
      <c r="E21" s="6">
        <f>(E9*'Asumsi'!$C$18+E10*'Asumsi'!$C$19+E11*'Asumsi'!$C$20)*'Unit Ekonomi'!$C$8</f>
        <v/>
      </c>
      <c r="F21" s="6">
        <f>(F9*'Asumsi'!$C$18+F10*'Asumsi'!$C$19+F11*'Asumsi'!$C$20)*'Unit Ekonomi'!$C$8</f>
        <v/>
      </c>
      <c r="G21" s="6">
        <f>(G9*'Asumsi'!$C$18+G10*'Asumsi'!$C$19+G11*'Asumsi'!$C$20)*'Unit Ekonomi'!$C$8</f>
        <v/>
      </c>
      <c r="H21" s="6">
        <f>(H9*'Asumsi'!$C$18+H10*'Asumsi'!$C$19+H11*'Asumsi'!$C$20)*'Unit Ekonomi'!$C$8</f>
        <v/>
      </c>
      <c r="I21" s="6">
        <f>(I9*'Asumsi'!$C$18+I10*'Asumsi'!$C$19+I11*'Asumsi'!$C$20)*'Unit Ekonomi'!$C$8</f>
        <v/>
      </c>
      <c r="J21" s="6">
        <f>(J9*'Asumsi'!$C$18+J10*'Asumsi'!$C$19+J11*'Asumsi'!$C$20)*'Unit Ekonomi'!$C$8</f>
        <v/>
      </c>
      <c r="K21" s="6">
        <f>(K9*'Asumsi'!$C$18+K10*'Asumsi'!$C$19+K11*'Asumsi'!$C$20)*'Unit Ekonomi'!$C$8</f>
        <v/>
      </c>
      <c r="L21" s="6">
        <f>(L9*'Asumsi'!$C$18+L10*'Asumsi'!$C$19+L11*'Asumsi'!$C$20)*'Unit Ekonomi'!$C$8</f>
        <v/>
      </c>
      <c r="M21" s="6">
        <f>(M9*'Asumsi'!$C$18+M10*'Asumsi'!$C$19+M11*'Asumsi'!$C$20)*'Unit Ekonomi'!$C$8</f>
        <v/>
      </c>
      <c r="N21" s="6">
        <f>(N9*'Asumsi'!$C$18+N10*'Asumsi'!$C$19+N11*'Asumsi'!$C$20)*'Unit Ekonomi'!$C$8</f>
        <v/>
      </c>
      <c r="O21" s="6">
        <f>(O9*'Asumsi'!$C$18+O10*'Asumsi'!$C$19+O11*'Asumsi'!$C$20)*'Unit Ekonomi'!$C$8</f>
        <v/>
      </c>
      <c r="P21" s="6">
        <f>(P9*'Asumsi'!$C$18+P10*'Asumsi'!$C$19+P11*'Asumsi'!$C$20)*'Unit Ekonomi'!$C$8</f>
        <v/>
      </c>
      <c r="Q21" s="6">
        <f>(Q9*'Asumsi'!$C$18+Q10*'Asumsi'!$C$19+Q11*'Asumsi'!$C$20)*'Unit Ekonomi'!$C$8</f>
        <v/>
      </c>
      <c r="R21" s="6">
        <f>(R9*'Asumsi'!$C$18+R10*'Asumsi'!$C$19+R11*'Asumsi'!$C$20)*'Unit Ekonomi'!$C$8</f>
        <v/>
      </c>
      <c r="S21" s="6">
        <f>(S9*'Asumsi'!$C$18+S10*'Asumsi'!$C$19+S11*'Asumsi'!$C$20)*'Unit Ekonomi'!$C$8</f>
        <v/>
      </c>
      <c r="T21" s="6">
        <f>(T9*'Asumsi'!$C$18+T10*'Asumsi'!$C$19+T11*'Asumsi'!$C$20)*'Unit Ekonomi'!$C$8</f>
        <v/>
      </c>
      <c r="U21" s="6">
        <f>(U9*'Asumsi'!$C$18+U10*'Asumsi'!$C$19+U11*'Asumsi'!$C$20)*'Unit Ekonomi'!$C$8</f>
        <v/>
      </c>
      <c r="V21" s="6">
        <f>(V9*'Asumsi'!$C$18+V10*'Asumsi'!$C$19+V11*'Asumsi'!$C$20)*'Unit Ekonomi'!$C$8</f>
        <v/>
      </c>
      <c r="W21" s="6">
        <f>(W9*'Asumsi'!$C$18+W10*'Asumsi'!$C$19+W11*'Asumsi'!$C$20)*'Unit Ekonomi'!$C$8</f>
        <v/>
      </c>
      <c r="X21" s="6">
        <f>(X9*'Asumsi'!$C$18+X10*'Asumsi'!$C$19+X11*'Asumsi'!$C$20)*'Unit Ekonomi'!$C$8</f>
        <v/>
      </c>
      <c r="Y21" s="6">
        <f>(Y9*'Asumsi'!$C$18+Y10*'Asumsi'!$C$19+Y11*'Asumsi'!$C$20)*'Unit Ekonomi'!$C$8</f>
        <v/>
      </c>
      <c r="Z21" s="6">
        <f>(Z9*'Asumsi'!$C$18+Z10*'Asumsi'!$C$19+Z11*'Asumsi'!$C$20)*'Unit Ekonomi'!$C$8</f>
        <v/>
      </c>
      <c r="AA21" s="6">
        <f>(AA9*'Asumsi'!$C$18+AA10*'Asumsi'!$C$19+AA11*'Asumsi'!$C$20)*'Unit Ekonomi'!$C$8</f>
        <v/>
      </c>
      <c r="AB21" s="6">
        <f>(AB9*'Asumsi'!$C$18+AB10*'Asumsi'!$C$19+AB11*'Asumsi'!$C$20)*'Unit Ekonomi'!$C$8</f>
        <v/>
      </c>
      <c r="AC21" s="6">
        <f>(AC9*'Asumsi'!$C$18+AC10*'Asumsi'!$C$19+AC11*'Asumsi'!$C$20)*'Unit Ekonomi'!$C$8</f>
        <v/>
      </c>
      <c r="AD21" s="6">
        <f>(AD9*'Asumsi'!$C$18+AD10*'Asumsi'!$C$19+AD11*'Asumsi'!$C$20)*'Unit Ekonomi'!$C$8</f>
        <v/>
      </c>
      <c r="AE21" s="6">
        <f>(AE9*'Asumsi'!$C$18+AE10*'Asumsi'!$C$19+AE11*'Asumsi'!$C$20)*'Unit Ekonomi'!$C$8</f>
        <v/>
      </c>
      <c r="AF21" s="6">
        <f>(AF9*'Asumsi'!$C$18+AF10*'Asumsi'!$C$19+AF11*'Asumsi'!$C$20)*'Unit Ekonomi'!$C$8</f>
        <v/>
      </c>
      <c r="AG21" s="6">
        <f>(AG9*'Asumsi'!$C$18+AG10*'Asumsi'!$C$19+AG11*'Asumsi'!$C$20)*'Unit Ekonomi'!$C$8</f>
        <v/>
      </c>
      <c r="AH21" s="6">
        <f>(AH9*'Asumsi'!$C$18+AH10*'Asumsi'!$C$19+AH11*'Asumsi'!$C$20)*'Unit Ekonomi'!$C$8</f>
        <v/>
      </c>
      <c r="AI21" s="6">
        <f>(AI9*'Asumsi'!$C$18+AI10*'Asumsi'!$C$19+AI11*'Asumsi'!$C$20)*'Unit Ekonomi'!$C$8</f>
        <v/>
      </c>
      <c r="AJ21" s="6">
        <f>(AJ9*'Asumsi'!$C$18+AJ10*'Asumsi'!$C$19+AJ11*'Asumsi'!$C$20)*'Unit Ekonomi'!$C$8</f>
        <v/>
      </c>
      <c r="AK21" s="6">
        <f>(AK9*'Asumsi'!$C$18+AK10*'Asumsi'!$C$19+AK11*'Asumsi'!$C$20)*'Unit Ekonomi'!$C$8</f>
        <v/>
      </c>
      <c r="AL21" s="6">
        <f>(AL9*'Asumsi'!$C$18+AL10*'Asumsi'!$C$19+AL11*'Asumsi'!$C$20)*'Unit Ekonomi'!$C$8</f>
        <v/>
      </c>
    </row>
    <row r="22">
      <c r="B22" t="inlineStr">
        <is>
          <t>COGS - Fee pembayaran</t>
        </is>
      </c>
      <c r="C22" s="6">
        <f>C19*'Asumsi'!$C$14</f>
        <v/>
      </c>
      <c r="D22" s="6">
        <f>D19*'Asumsi'!$C$14</f>
        <v/>
      </c>
      <c r="E22" s="6">
        <f>E19*'Asumsi'!$C$14</f>
        <v/>
      </c>
      <c r="F22" s="6">
        <f>F19*'Asumsi'!$C$14</f>
        <v/>
      </c>
      <c r="G22" s="6">
        <f>G19*'Asumsi'!$C$14</f>
        <v/>
      </c>
      <c r="H22" s="6">
        <f>H19*'Asumsi'!$C$14</f>
        <v/>
      </c>
      <c r="I22" s="6">
        <f>I19*'Asumsi'!$C$14</f>
        <v/>
      </c>
      <c r="J22" s="6">
        <f>J19*'Asumsi'!$C$14</f>
        <v/>
      </c>
      <c r="K22" s="6">
        <f>K19*'Asumsi'!$C$14</f>
        <v/>
      </c>
      <c r="L22" s="6">
        <f>L19*'Asumsi'!$C$14</f>
        <v/>
      </c>
      <c r="M22" s="6">
        <f>M19*'Asumsi'!$C$14</f>
        <v/>
      </c>
      <c r="N22" s="6">
        <f>N19*'Asumsi'!$C$14</f>
        <v/>
      </c>
      <c r="O22" s="6">
        <f>O19*'Asumsi'!$C$14</f>
        <v/>
      </c>
      <c r="P22" s="6">
        <f>P19*'Asumsi'!$C$14</f>
        <v/>
      </c>
      <c r="Q22" s="6">
        <f>Q19*'Asumsi'!$C$14</f>
        <v/>
      </c>
      <c r="R22" s="6">
        <f>R19*'Asumsi'!$C$14</f>
        <v/>
      </c>
      <c r="S22" s="6">
        <f>S19*'Asumsi'!$C$14</f>
        <v/>
      </c>
      <c r="T22" s="6">
        <f>T19*'Asumsi'!$C$14</f>
        <v/>
      </c>
      <c r="U22" s="6">
        <f>U19*'Asumsi'!$C$14</f>
        <v/>
      </c>
      <c r="V22" s="6">
        <f>V19*'Asumsi'!$C$14</f>
        <v/>
      </c>
      <c r="W22" s="6">
        <f>W19*'Asumsi'!$C$14</f>
        <v/>
      </c>
      <c r="X22" s="6">
        <f>X19*'Asumsi'!$C$14</f>
        <v/>
      </c>
      <c r="Y22" s="6">
        <f>Y19*'Asumsi'!$C$14</f>
        <v/>
      </c>
      <c r="Z22" s="6">
        <f>Z19*'Asumsi'!$C$14</f>
        <v/>
      </c>
      <c r="AA22" s="6">
        <f>AA19*'Asumsi'!$C$14</f>
        <v/>
      </c>
      <c r="AB22" s="6">
        <f>AB19*'Asumsi'!$C$14</f>
        <v/>
      </c>
      <c r="AC22" s="6">
        <f>AC19*'Asumsi'!$C$14</f>
        <v/>
      </c>
      <c r="AD22" s="6">
        <f>AD19*'Asumsi'!$C$14</f>
        <v/>
      </c>
      <c r="AE22" s="6">
        <f>AE19*'Asumsi'!$C$14</f>
        <v/>
      </c>
      <c r="AF22" s="6">
        <f>AF19*'Asumsi'!$C$14</f>
        <v/>
      </c>
      <c r="AG22" s="6">
        <f>AG19*'Asumsi'!$C$14</f>
        <v/>
      </c>
      <c r="AH22" s="6">
        <f>AH19*'Asumsi'!$C$14</f>
        <v/>
      </c>
      <c r="AI22" s="6">
        <f>AI19*'Asumsi'!$C$14</f>
        <v/>
      </c>
      <c r="AJ22" s="6">
        <f>AJ19*'Asumsi'!$C$14</f>
        <v/>
      </c>
      <c r="AK22" s="6">
        <f>AK19*'Asumsi'!$C$14</f>
        <v/>
      </c>
      <c r="AL22" s="6">
        <f>AL19*'Asumsi'!$C$14</f>
        <v/>
      </c>
    </row>
    <row r="23">
      <c r="B23" t="inlineStr">
        <is>
          <t>COGS - Infra / media</t>
        </is>
      </c>
      <c r="C23" s="6">
        <f>C12*'Asumsi'!$C$15</f>
        <v/>
      </c>
      <c r="D23" s="6">
        <f>D12*'Asumsi'!$C$15</f>
        <v/>
      </c>
      <c r="E23" s="6">
        <f>E12*'Asumsi'!$C$15</f>
        <v/>
      </c>
      <c r="F23" s="6">
        <f>F12*'Asumsi'!$C$15</f>
        <v/>
      </c>
      <c r="G23" s="6">
        <f>G12*'Asumsi'!$C$15</f>
        <v/>
      </c>
      <c r="H23" s="6">
        <f>H12*'Asumsi'!$C$15</f>
        <v/>
      </c>
      <c r="I23" s="6">
        <f>I12*'Asumsi'!$C$15</f>
        <v/>
      </c>
      <c r="J23" s="6">
        <f>J12*'Asumsi'!$C$15</f>
        <v/>
      </c>
      <c r="K23" s="6">
        <f>K12*'Asumsi'!$C$15</f>
        <v/>
      </c>
      <c r="L23" s="6">
        <f>L12*'Asumsi'!$C$15</f>
        <v/>
      </c>
      <c r="M23" s="6">
        <f>M12*'Asumsi'!$C$15</f>
        <v/>
      </c>
      <c r="N23" s="6">
        <f>N12*'Asumsi'!$C$15</f>
        <v/>
      </c>
      <c r="O23" s="6">
        <f>O12*'Asumsi'!$C$15</f>
        <v/>
      </c>
      <c r="P23" s="6">
        <f>P12*'Asumsi'!$C$15</f>
        <v/>
      </c>
      <c r="Q23" s="6">
        <f>Q12*'Asumsi'!$C$15</f>
        <v/>
      </c>
      <c r="R23" s="6">
        <f>R12*'Asumsi'!$C$15</f>
        <v/>
      </c>
      <c r="S23" s="6">
        <f>S12*'Asumsi'!$C$15</f>
        <v/>
      </c>
      <c r="T23" s="6">
        <f>T12*'Asumsi'!$C$15</f>
        <v/>
      </c>
      <c r="U23" s="6">
        <f>U12*'Asumsi'!$C$15</f>
        <v/>
      </c>
      <c r="V23" s="6">
        <f>V12*'Asumsi'!$C$15</f>
        <v/>
      </c>
      <c r="W23" s="6">
        <f>W12*'Asumsi'!$C$15</f>
        <v/>
      </c>
      <c r="X23" s="6">
        <f>X12*'Asumsi'!$C$15</f>
        <v/>
      </c>
      <c r="Y23" s="6">
        <f>Y12*'Asumsi'!$C$15</f>
        <v/>
      </c>
      <c r="Z23" s="6">
        <f>Z12*'Asumsi'!$C$15</f>
        <v/>
      </c>
      <c r="AA23" s="6">
        <f>AA12*'Asumsi'!$C$15</f>
        <v/>
      </c>
      <c r="AB23" s="6">
        <f>AB12*'Asumsi'!$C$15</f>
        <v/>
      </c>
      <c r="AC23" s="6">
        <f>AC12*'Asumsi'!$C$15</f>
        <v/>
      </c>
      <c r="AD23" s="6">
        <f>AD12*'Asumsi'!$C$15</f>
        <v/>
      </c>
      <c r="AE23" s="6">
        <f>AE12*'Asumsi'!$C$15</f>
        <v/>
      </c>
      <c r="AF23" s="6">
        <f>AF12*'Asumsi'!$C$15</f>
        <v/>
      </c>
      <c r="AG23" s="6">
        <f>AG12*'Asumsi'!$C$15</f>
        <v/>
      </c>
      <c r="AH23" s="6">
        <f>AH12*'Asumsi'!$C$15</f>
        <v/>
      </c>
      <c r="AI23" s="6">
        <f>AI12*'Asumsi'!$C$15</f>
        <v/>
      </c>
      <c r="AJ23" s="6">
        <f>AJ12*'Asumsi'!$C$15</f>
        <v/>
      </c>
      <c r="AK23" s="6">
        <f>AK12*'Asumsi'!$C$15</f>
        <v/>
      </c>
      <c r="AL23" s="6">
        <f>AL12*'Asumsi'!$C$15</f>
        <v/>
      </c>
    </row>
    <row r="24">
      <c r="B24" s="30" t="inlineStr">
        <is>
          <t>Total COGS</t>
        </is>
      </c>
      <c r="C24" s="6">
        <f>SUM(C21:C23)</f>
        <v/>
      </c>
      <c r="D24" s="6">
        <f>SUM(D21:D23)</f>
        <v/>
      </c>
      <c r="E24" s="6">
        <f>SUM(E21:E23)</f>
        <v/>
      </c>
      <c r="F24" s="6">
        <f>SUM(F21:F23)</f>
        <v/>
      </c>
      <c r="G24" s="6">
        <f>SUM(G21:G23)</f>
        <v/>
      </c>
      <c r="H24" s="6">
        <f>SUM(H21:H23)</f>
        <v/>
      </c>
      <c r="I24" s="6">
        <f>SUM(I21:I23)</f>
        <v/>
      </c>
      <c r="J24" s="6">
        <f>SUM(J21:J23)</f>
        <v/>
      </c>
      <c r="K24" s="6">
        <f>SUM(K21:K23)</f>
        <v/>
      </c>
      <c r="L24" s="6">
        <f>SUM(L21:L23)</f>
        <v/>
      </c>
      <c r="M24" s="6">
        <f>SUM(M21:M23)</f>
        <v/>
      </c>
      <c r="N24" s="6">
        <f>SUM(N21:N23)</f>
        <v/>
      </c>
      <c r="O24" s="6">
        <f>SUM(O21:O23)</f>
        <v/>
      </c>
      <c r="P24" s="6">
        <f>SUM(P21:P23)</f>
        <v/>
      </c>
      <c r="Q24" s="6">
        <f>SUM(Q21:Q23)</f>
        <v/>
      </c>
      <c r="R24" s="6">
        <f>SUM(R21:R23)</f>
        <v/>
      </c>
      <c r="S24" s="6">
        <f>SUM(S21:S23)</f>
        <v/>
      </c>
      <c r="T24" s="6">
        <f>SUM(T21:T23)</f>
        <v/>
      </c>
      <c r="U24" s="6">
        <f>SUM(U21:U23)</f>
        <v/>
      </c>
      <c r="V24" s="6">
        <f>SUM(V21:V23)</f>
        <v/>
      </c>
      <c r="W24" s="6">
        <f>SUM(W21:W23)</f>
        <v/>
      </c>
      <c r="X24" s="6">
        <f>SUM(X21:X23)</f>
        <v/>
      </c>
      <c r="Y24" s="6">
        <f>SUM(Y21:Y23)</f>
        <v/>
      </c>
      <c r="Z24" s="6">
        <f>SUM(Z21:Z23)</f>
        <v/>
      </c>
      <c r="AA24" s="6">
        <f>SUM(AA21:AA23)</f>
        <v/>
      </c>
      <c r="AB24" s="6">
        <f>SUM(AB21:AB23)</f>
        <v/>
      </c>
      <c r="AC24" s="6">
        <f>SUM(AC21:AC23)</f>
        <v/>
      </c>
      <c r="AD24" s="6">
        <f>SUM(AD21:AD23)</f>
        <v/>
      </c>
      <c r="AE24" s="6">
        <f>SUM(AE21:AE23)</f>
        <v/>
      </c>
      <c r="AF24" s="6">
        <f>SUM(AF21:AF23)</f>
        <v/>
      </c>
      <c r="AG24" s="6">
        <f>SUM(AG21:AG23)</f>
        <v/>
      </c>
      <c r="AH24" s="6">
        <f>SUM(AH21:AH23)</f>
        <v/>
      </c>
      <c r="AI24" s="6">
        <f>SUM(AI21:AI23)</f>
        <v/>
      </c>
      <c r="AJ24" s="6">
        <f>SUM(AJ21:AJ23)</f>
        <v/>
      </c>
      <c r="AK24" s="6">
        <f>SUM(AK21:AK23)</f>
        <v/>
      </c>
      <c r="AL24" s="6">
        <f>SUM(AL21:AL23)</f>
        <v/>
      </c>
    </row>
    <row r="25">
      <c r="B25" s="30" t="inlineStr">
        <is>
          <t>LABA KOTOR</t>
        </is>
      </c>
      <c r="C25" s="6">
        <f>C19-C24</f>
        <v/>
      </c>
      <c r="D25" s="6">
        <f>D19-D24</f>
        <v/>
      </c>
      <c r="E25" s="6">
        <f>E19-E24</f>
        <v/>
      </c>
      <c r="F25" s="6">
        <f>F19-F24</f>
        <v/>
      </c>
      <c r="G25" s="6">
        <f>G19-G24</f>
        <v/>
      </c>
      <c r="H25" s="6">
        <f>H19-H24</f>
        <v/>
      </c>
      <c r="I25" s="6">
        <f>I19-I24</f>
        <v/>
      </c>
      <c r="J25" s="6">
        <f>J19-J24</f>
        <v/>
      </c>
      <c r="K25" s="6">
        <f>K19-K24</f>
        <v/>
      </c>
      <c r="L25" s="6">
        <f>L19-L24</f>
        <v/>
      </c>
      <c r="M25" s="6">
        <f>M19-M24</f>
        <v/>
      </c>
      <c r="N25" s="6">
        <f>N19-N24</f>
        <v/>
      </c>
      <c r="O25" s="6">
        <f>O19-O24</f>
        <v/>
      </c>
      <c r="P25" s="6">
        <f>P19-P24</f>
        <v/>
      </c>
      <c r="Q25" s="6">
        <f>Q19-Q24</f>
        <v/>
      </c>
      <c r="R25" s="6">
        <f>R19-R24</f>
        <v/>
      </c>
      <c r="S25" s="6">
        <f>S19-S24</f>
        <v/>
      </c>
      <c r="T25" s="6">
        <f>T19-T24</f>
        <v/>
      </c>
      <c r="U25" s="6">
        <f>U19-U24</f>
        <v/>
      </c>
      <c r="V25" s="6">
        <f>V19-V24</f>
        <v/>
      </c>
      <c r="W25" s="6">
        <f>W19-W24</f>
        <v/>
      </c>
      <c r="X25" s="6">
        <f>X19-X24</f>
        <v/>
      </c>
      <c r="Y25" s="6">
        <f>Y19-Y24</f>
        <v/>
      </c>
      <c r="Z25" s="6">
        <f>Z19-Z24</f>
        <v/>
      </c>
      <c r="AA25" s="6">
        <f>AA19-AA24</f>
        <v/>
      </c>
      <c r="AB25" s="6">
        <f>AB19-AB24</f>
        <v/>
      </c>
      <c r="AC25" s="6">
        <f>AC19-AC24</f>
        <v/>
      </c>
      <c r="AD25" s="6">
        <f>AD19-AD24</f>
        <v/>
      </c>
      <c r="AE25" s="6">
        <f>AE19-AE24</f>
        <v/>
      </c>
      <c r="AF25" s="6">
        <f>AF19-AF24</f>
        <v/>
      </c>
      <c r="AG25" s="6">
        <f>AG19-AG24</f>
        <v/>
      </c>
      <c r="AH25" s="6">
        <f>AH19-AH24</f>
        <v/>
      </c>
      <c r="AI25" s="6">
        <f>AI19-AI24</f>
        <v/>
      </c>
      <c r="AJ25" s="6">
        <f>AJ19-AJ24</f>
        <v/>
      </c>
      <c r="AK25" s="6">
        <f>AK19-AK24</f>
        <v/>
      </c>
      <c r="AL25" s="6">
        <f>AL19-AL24</f>
        <v/>
      </c>
    </row>
    <row r="26">
      <c r="B26" t="inlineStr">
        <is>
          <t>Margin kotor</t>
        </is>
      </c>
      <c r="C26" s="11">
        <f>C25/C19</f>
        <v/>
      </c>
      <c r="D26" s="11">
        <f>D25/D19</f>
        <v/>
      </c>
      <c r="E26" s="11">
        <f>E25/E19</f>
        <v/>
      </c>
      <c r="F26" s="11">
        <f>F25/F19</f>
        <v/>
      </c>
      <c r="G26" s="11">
        <f>G25/G19</f>
        <v/>
      </c>
      <c r="H26" s="11">
        <f>H25/H19</f>
        <v/>
      </c>
      <c r="I26" s="11">
        <f>I25/I19</f>
        <v/>
      </c>
      <c r="J26" s="11">
        <f>J25/J19</f>
        <v/>
      </c>
      <c r="K26" s="11">
        <f>K25/K19</f>
        <v/>
      </c>
      <c r="L26" s="11">
        <f>L25/L19</f>
        <v/>
      </c>
      <c r="M26" s="11">
        <f>M25/M19</f>
        <v/>
      </c>
      <c r="N26" s="11">
        <f>N25/N19</f>
        <v/>
      </c>
      <c r="O26" s="11">
        <f>O25/O19</f>
        <v/>
      </c>
      <c r="P26" s="11">
        <f>P25/P19</f>
        <v/>
      </c>
      <c r="Q26" s="11">
        <f>Q25/Q19</f>
        <v/>
      </c>
      <c r="R26" s="11">
        <f>R25/R19</f>
        <v/>
      </c>
      <c r="S26" s="11">
        <f>S25/S19</f>
        <v/>
      </c>
      <c r="T26" s="11">
        <f>T25/T19</f>
        <v/>
      </c>
      <c r="U26" s="11">
        <f>U25/U19</f>
        <v/>
      </c>
      <c r="V26" s="11">
        <f>V25/V19</f>
        <v/>
      </c>
      <c r="W26" s="11">
        <f>W25/W19</f>
        <v/>
      </c>
      <c r="X26" s="11">
        <f>X25/X19</f>
        <v/>
      </c>
      <c r="Y26" s="11">
        <f>Y25/Y19</f>
        <v/>
      </c>
      <c r="Z26" s="11">
        <f>Z25/Z19</f>
        <v/>
      </c>
      <c r="AA26" s="11">
        <f>AA25/AA19</f>
        <v/>
      </c>
      <c r="AB26" s="11">
        <f>AB25/AB19</f>
        <v/>
      </c>
      <c r="AC26" s="11">
        <f>AC25/AC19</f>
        <v/>
      </c>
      <c r="AD26" s="11">
        <f>AD25/AD19</f>
        <v/>
      </c>
      <c r="AE26" s="11">
        <f>AE25/AE19</f>
        <v/>
      </c>
      <c r="AF26" s="11">
        <f>AF25/AF19</f>
        <v/>
      </c>
      <c r="AG26" s="11">
        <f>AG25/AG19</f>
        <v/>
      </c>
      <c r="AH26" s="11">
        <f>AH25/AH19</f>
        <v/>
      </c>
      <c r="AI26" s="11">
        <f>AI25/AI19</f>
        <v/>
      </c>
      <c r="AJ26" s="11">
        <f>AJ25/AJ19</f>
        <v/>
      </c>
      <c r="AK26" s="11">
        <f>AK25/AK19</f>
        <v/>
      </c>
      <c r="AL26" s="11">
        <f>AL25/AL19</f>
        <v/>
      </c>
    </row>
    <row r="28">
      <c r="B28" t="inlineStr">
        <is>
          <t>OPEX - Gaji tim (+BPJS/THR)</t>
        </is>
      </c>
      <c r="C28" s="6">
        <f>(1+'Asumsi'!$C$47)*SUMPRODUCT(('Asumsi'!$D$39:$D$46&lt;=C$3)*'Asumsi'!$C$39:$C$46)</f>
        <v/>
      </c>
      <c r="D28" s="6">
        <f>(1+'Asumsi'!$C$47)*SUMPRODUCT(('Asumsi'!$D$39:$D$46&lt;=D$3)*'Asumsi'!$C$39:$C$46)</f>
        <v/>
      </c>
      <c r="E28" s="6">
        <f>(1+'Asumsi'!$C$47)*SUMPRODUCT(('Asumsi'!$D$39:$D$46&lt;=E$3)*'Asumsi'!$C$39:$C$46)</f>
        <v/>
      </c>
      <c r="F28" s="6">
        <f>(1+'Asumsi'!$C$47)*SUMPRODUCT(('Asumsi'!$D$39:$D$46&lt;=F$3)*'Asumsi'!$C$39:$C$46)</f>
        <v/>
      </c>
      <c r="G28" s="6">
        <f>(1+'Asumsi'!$C$47)*SUMPRODUCT(('Asumsi'!$D$39:$D$46&lt;=G$3)*'Asumsi'!$C$39:$C$46)</f>
        <v/>
      </c>
      <c r="H28" s="6">
        <f>(1+'Asumsi'!$C$47)*SUMPRODUCT(('Asumsi'!$D$39:$D$46&lt;=H$3)*'Asumsi'!$C$39:$C$46)</f>
        <v/>
      </c>
      <c r="I28" s="6">
        <f>(1+'Asumsi'!$C$47)*SUMPRODUCT(('Asumsi'!$D$39:$D$46&lt;=I$3)*'Asumsi'!$C$39:$C$46)</f>
        <v/>
      </c>
      <c r="J28" s="6">
        <f>(1+'Asumsi'!$C$47)*SUMPRODUCT(('Asumsi'!$D$39:$D$46&lt;=J$3)*'Asumsi'!$C$39:$C$46)</f>
        <v/>
      </c>
      <c r="K28" s="6">
        <f>(1+'Asumsi'!$C$47)*SUMPRODUCT(('Asumsi'!$D$39:$D$46&lt;=K$3)*'Asumsi'!$C$39:$C$46)</f>
        <v/>
      </c>
      <c r="L28" s="6">
        <f>(1+'Asumsi'!$C$47)*SUMPRODUCT(('Asumsi'!$D$39:$D$46&lt;=L$3)*'Asumsi'!$C$39:$C$46)</f>
        <v/>
      </c>
      <c r="M28" s="6">
        <f>(1+'Asumsi'!$C$47)*SUMPRODUCT(('Asumsi'!$D$39:$D$46&lt;=M$3)*'Asumsi'!$C$39:$C$46)</f>
        <v/>
      </c>
      <c r="N28" s="6">
        <f>(1+'Asumsi'!$C$47)*SUMPRODUCT(('Asumsi'!$D$39:$D$46&lt;=N$3)*'Asumsi'!$C$39:$C$46)</f>
        <v/>
      </c>
      <c r="O28" s="6">
        <f>(1+'Asumsi'!$C$47)*SUMPRODUCT(('Asumsi'!$D$39:$D$46&lt;=O$3)*'Asumsi'!$C$39:$C$46)</f>
        <v/>
      </c>
      <c r="P28" s="6">
        <f>(1+'Asumsi'!$C$47)*SUMPRODUCT(('Asumsi'!$D$39:$D$46&lt;=P$3)*'Asumsi'!$C$39:$C$46)</f>
        <v/>
      </c>
      <c r="Q28" s="6">
        <f>(1+'Asumsi'!$C$47)*SUMPRODUCT(('Asumsi'!$D$39:$D$46&lt;=Q$3)*'Asumsi'!$C$39:$C$46)</f>
        <v/>
      </c>
      <c r="R28" s="6">
        <f>(1+'Asumsi'!$C$47)*SUMPRODUCT(('Asumsi'!$D$39:$D$46&lt;=R$3)*'Asumsi'!$C$39:$C$46)</f>
        <v/>
      </c>
      <c r="S28" s="6">
        <f>(1+'Asumsi'!$C$47)*SUMPRODUCT(('Asumsi'!$D$39:$D$46&lt;=S$3)*'Asumsi'!$C$39:$C$46)</f>
        <v/>
      </c>
      <c r="T28" s="6">
        <f>(1+'Asumsi'!$C$47)*SUMPRODUCT(('Asumsi'!$D$39:$D$46&lt;=T$3)*'Asumsi'!$C$39:$C$46)</f>
        <v/>
      </c>
      <c r="U28" s="6">
        <f>(1+'Asumsi'!$C$47)*SUMPRODUCT(('Asumsi'!$D$39:$D$46&lt;=U$3)*'Asumsi'!$C$39:$C$46)</f>
        <v/>
      </c>
      <c r="V28" s="6">
        <f>(1+'Asumsi'!$C$47)*SUMPRODUCT(('Asumsi'!$D$39:$D$46&lt;=V$3)*'Asumsi'!$C$39:$C$46)</f>
        <v/>
      </c>
      <c r="W28" s="6">
        <f>(1+'Asumsi'!$C$47)*SUMPRODUCT(('Asumsi'!$D$39:$D$46&lt;=W$3)*'Asumsi'!$C$39:$C$46)</f>
        <v/>
      </c>
      <c r="X28" s="6">
        <f>(1+'Asumsi'!$C$47)*SUMPRODUCT(('Asumsi'!$D$39:$D$46&lt;=X$3)*'Asumsi'!$C$39:$C$46)</f>
        <v/>
      </c>
      <c r="Y28" s="6">
        <f>(1+'Asumsi'!$C$47)*SUMPRODUCT(('Asumsi'!$D$39:$D$46&lt;=Y$3)*'Asumsi'!$C$39:$C$46)</f>
        <v/>
      </c>
      <c r="Z28" s="6">
        <f>(1+'Asumsi'!$C$47)*SUMPRODUCT(('Asumsi'!$D$39:$D$46&lt;=Z$3)*'Asumsi'!$C$39:$C$46)</f>
        <v/>
      </c>
      <c r="AA28" s="6">
        <f>(1+'Asumsi'!$C$47)*SUMPRODUCT(('Asumsi'!$D$39:$D$46&lt;=AA$3)*'Asumsi'!$C$39:$C$46)</f>
        <v/>
      </c>
      <c r="AB28" s="6">
        <f>(1+'Asumsi'!$C$47)*SUMPRODUCT(('Asumsi'!$D$39:$D$46&lt;=AB$3)*'Asumsi'!$C$39:$C$46)</f>
        <v/>
      </c>
      <c r="AC28" s="6">
        <f>(1+'Asumsi'!$C$47)*SUMPRODUCT(('Asumsi'!$D$39:$D$46&lt;=AC$3)*'Asumsi'!$C$39:$C$46)</f>
        <v/>
      </c>
      <c r="AD28" s="6">
        <f>(1+'Asumsi'!$C$47)*SUMPRODUCT(('Asumsi'!$D$39:$D$46&lt;=AD$3)*'Asumsi'!$C$39:$C$46)</f>
        <v/>
      </c>
      <c r="AE28" s="6">
        <f>(1+'Asumsi'!$C$47)*SUMPRODUCT(('Asumsi'!$D$39:$D$46&lt;=AE$3)*'Asumsi'!$C$39:$C$46)</f>
        <v/>
      </c>
      <c r="AF28" s="6">
        <f>(1+'Asumsi'!$C$47)*SUMPRODUCT(('Asumsi'!$D$39:$D$46&lt;=AF$3)*'Asumsi'!$C$39:$C$46)</f>
        <v/>
      </c>
      <c r="AG28" s="6">
        <f>(1+'Asumsi'!$C$47)*SUMPRODUCT(('Asumsi'!$D$39:$D$46&lt;=AG$3)*'Asumsi'!$C$39:$C$46)</f>
        <v/>
      </c>
      <c r="AH28" s="6">
        <f>(1+'Asumsi'!$C$47)*SUMPRODUCT(('Asumsi'!$D$39:$D$46&lt;=AH$3)*'Asumsi'!$C$39:$C$46)</f>
        <v/>
      </c>
      <c r="AI28" s="6">
        <f>(1+'Asumsi'!$C$47)*SUMPRODUCT(('Asumsi'!$D$39:$D$46&lt;=AI$3)*'Asumsi'!$C$39:$C$46)</f>
        <v/>
      </c>
      <c r="AJ28" s="6">
        <f>(1+'Asumsi'!$C$47)*SUMPRODUCT(('Asumsi'!$D$39:$D$46&lt;=AJ$3)*'Asumsi'!$C$39:$C$46)</f>
        <v/>
      </c>
      <c r="AK28" s="6">
        <f>(1+'Asumsi'!$C$47)*SUMPRODUCT(('Asumsi'!$D$39:$D$46&lt;=AK$3)*'Asumsi'!$C$39:$C$46)</f>
        <v/>
      </c>
      <c r="AL28" s="6">
        <f>(1+'Asumsi'!$C$47)*SUMPRODUCT(('Asumsi'!$D$39:$D$46&lt;=AL$3)*'Asumsi'!$C$39:$C$46)</f>
        <v/>
      </c>
    </row>
    <row r="29">
      <c r="B29" t="inlineStr">
        <is>
          <t>OPEX - Hosting / VPS</t>
        </is>
      </c>
      <c r="C29" s="6">
        <f>'Asumsi'!$C$51+('Asumsi'!$D$51-'Asumsi'!$C$51)*(C$3-1)/35</f>
        <v/>
      </c>
      <c r="D29" s="6">
        <f>'Asumsi'!$C$51+('Asumsi'!$D$51-'Asumsi'!$C$51)*(D$3-1)/35</f>
        <v/>
      </c>
      <c r="E29" s="6">
        <f>'Asumsi'!$C$51+('Asumsi'!$D$51-'Asumsi'!$C$51)*(E$3-1)/35</f>
        <v/>
      </c>
      <c r="F29" s="6">
        <f>'Asumsi'!$C$51+('Asumsi'!$D$51-'Asumsi'!$C$51)*(F$3-1)/35</f>
        <v/>
      </c>
      <c r="G29" s="6">
        <f>'Asumsi'!$C$51+('Asumsi'!$D$51-'Asumsi'!$C$51)*(G$3-1)/35</f>
        <v/>
      </c>
      <c r="H29" s="6">
        <f>'Asumsi'!$C$51+('Asumsi'!$D$51-'Asumsi'!$C$51)*(H$3-1)/35</f>
        <v/>
      </c>
      <c r="I29" s="6">
        <f>'Asumsi'!$C$51+('Asumsi'!$D$51-'Asumsi'!$C$51)*(I$3-1)/35</f>
        <v/>
      </c>
      <c r="J29" s="6">
        <f>'Asumsi'!$C$51+('Asumsi'!$D$51-'Asumsi'!$C$51)*(J$3-1)/35</f>
        <v/>
      </c>
      <c r="K29" s="6">
        <f>'Asumsi'!$C$51+('Asumsi'!$D$51-'Asumsi'!$C$51)*(K$3-1)/35</f>
        <v/>
      </c>
      <c r="L29" s="6">
        <f>'Asumsi'!$C$51+('Asumsi'!$D$51-'Asumsi'!$C$51)*(L$3-1)/35</f>
        <v/>
      </c>
      <c r="M29" s="6">
        <f>'Asumsi'!$C$51+('Asumsi'!$D$51-'Asumsi'!$C$51)*(M$3-1)/35</f>
        <v/>
      </c>
      <c r="N29" s="6">
        <f>'Asumsi'!$C$51+('Asumsi'!$D$51-'Asumsi'!$C$51)*(N$3-1)/35</f>
        <v/>
      </c>
      <c r="O29" s="6">
        <f>'Asumsi'!$C$51+('Asumsi'!$D$51-'Asumsi'!$C$51)*(O$3-1)/35</f>
        <v/>
      </c>
      <c r="P29" s="6">
        <f>'Asumsi'!$C$51+('Asumsi'!$D$51-'Asumsi'!$C$51)*(P$3-1)/35</f>
        <v/>
      </c>
      <c r="Q29" s="6">
        <f>'Asumsi'!$C$51+('Asumsi'!$D$51-'Asumsi'!$C$51)*(Q$3-1)/35</f>
        <v/>
      </c>
      <c r="R29" s="6">
        <f>'Asumsi'!$C$51+('Asumsi'!$D$51-'Asumsi'!$C$51)*(R$3-1)/35</f>
        <v/>
      </c>
      <c r="S29" s="6">
        <f>'Asumsi'!$C$51+('Asumsi'!$D$51-'Asumsi'!$C$51)*(S$3-1)/35</f>
        <v/>
      </c>
      <c r="T29" s="6">
        <f>'Asumsi'!$C$51+('Asumsi'!$D$51-'Asumsi'!$C$51)*(T$3-1)/35</f>
        <v/>
      </c>
      <c r="U29" s="6">
        <f>'Asumsi'!$C$51+('Asumsi'!$D$51-'Asumsi'!$C$51)*(U$3-1)/35</f>
        <v/>
      </c>
      <c r="V29" s="6">
        <f>'Asumsi'!$C$51+('Asumsi'!$D$51-'Asumsi'!$C$51)*(V$3-1)/35</f>
        <v/>
      </c>
      <c r="W29" s="6">
        <f>'Asumsi'!$C$51+('Asumsi'!$D$51-'Asumsi'!$C$51)*(W$3-1)/35</f>
        <v/>
      </c>
      <c r="X29" s="6">
        <f>'Asumsi'!$C$51+('Asumsi'!$D$51-'Asumsi'!$C$51)*(X$3-1)/35</f>
        <v/>
      </c>
      <c r="Y29" s="6">
        <f>'Asumsi'!$C$51+('Asumsi'!$D$51-'Asumsi'!$C$51)*(Y$3-1)/35</f>
        <v/>
      </c>
      <c r="Z29" s="6">
        <f>'Asumsi'!$C$51+('Asumsi'!$D$51-'Asumsi'!$C$51)*(Z$3-1)/35</f>
        <v/>
      </c>
      <c r="AA29" s="6">
        <f>'Asumsi'!$C$51+('Asumsi'!$D$51-'Asumsi'!$C$51)*(AA$3-1)/35</f>
        <v/>
      </c>
      <c r="AB29" s="6">
        <f>'Asumsi'!$C$51+('Asumsi'!$D$51-'Asumsi'!$C$51)*(AB$3-1)/35</f>
        <v/>
      </c>
      <c r="AC29" s="6">
        <f>'Asumsi'!$C$51+('Asumsi'!$D$51-'Asumsi'!$C$51)*(AC$3-1)/35</f>
        <v/>
      </c>
      <c r="AD29" s="6">
        <f>'Asumsi'!$C$51+('Asumsi'!$D$51-'Asumsi'!$C$51)*(AD$3-1)/35</f>
        <v/>
      </c>
      <c r="AE29" s="6">
        <f>'Asumsi'!$C$51+('Asumsi'!$D$51-'Asumsi'!$C$51)*(AE$3-1)/35</f>
        <v/>
      </c>
      <c r="AF29" s="6">
        <f>'Asumsi'!$C$51+('Asumsi'!$D$51-'Asumsi'!$C$51)*(AF$3-1)/35</f>
        <v/>
      </c>
      <c r="AG29" s="6">
        <f>'Asumsi'!$C$51+('Asumsi'!$D$51-'Asumsi'!$C$51)*(AG$3-1)/35</f>
        <v/>
      </c>
      <c r="AH29" s="6">
        <f>'Asumsi'!$C$51+('Asumsi'!$D$51-'Asumsi'!$C$51)*(AH$3-1)/35</f>
        <v/>
      </c>
      <c r="AI29" s="6">
        <f>'Asumsi'!$C$51+('Asumsi'!$D$51-'Asumsi'!$C$51)*(AI$3-1)/35</f>
        <v/>
      </c>
      <c r="AJ29" s="6">
        <f>'Asumsi'!$C$51+('Asumsi'!$D$51-'Asumsi'!$C$51)*(AJ$3-1)/35</f>
        <v/>
      </c>
      <c r="AK29" s="6">
        <f>'Asumsi'!$C$51+('Asumsi'!$D$51-'Asumsi'!$C$51)*(AK$3-1)/35</f>
        <v/>
      </c>
      <c r="AL29" s="6">
        <f>'Asumsi'!$C$51+('Asumsi'!$D$51-'Asumsi'!$C$51)*(AL$3-1)/35</f>
        <v/>
      </c>
    </row>
    <row r="30">
      <c r="B30" t="inlineStr">
        <is>
          <t>OPEX - Tools &amp; SaaS</t>
        </is>
      </c>
      <c r="C30" s="6">
        <f>'Asumsi'!$C$52+('Asumsi'!$D$52-'Asumsi'!$C$52)*(C$3-1)/35</f>
        <v/>
      </c>
      <c r="D30" s="6">
        <f>'Asumsi'!$C$52+('Asumsi'!$D$52-'Asumsi'!$C$52)*(D$3-1)/35</f>
        <v/>
      </c>
      <c r="E30" s="6">
        <f>'Asumsi'!$C$52+('Asumsi'!$D$52-'Asumsi'!$C$52)*(E$3-1)/35</f>
        <v/>
      </c>
      <c r="F30" s="6">
        <f>'Asumsi'!$C$52+('Asumsi'!$D$52-'Asumsi'!$C$52)*(F$3-1)/35</f>
        <v/>
      </c>
      <c r="G30" s="6">
        <f>'Asumsi'!$C$52+('Asumsi'!$D$52-'Asumsi'!$C$52)*(G$3-1)/35</f>
        <v/>
      </c>
      <c r="H30" s="6">
        <f>'Asumsi'!$C$52+('Asumsi'!$D$52-'Asumsi'!$C$52)*(H$3-1)/35</f>
        <v/>
      </c>
      <c r="I30" s="6">
        <f>'Asumsi'!$C$52+('Asumsi'!$D$52-'Asumsi'!$C$52)*(I$3-1)/35</f>
        <v/>
      </c>
      <c r="J30" s="6">
        <f>'Asumsi'!$C$52+('Asumsi'!$D$52-'Asumsi'!$C$52)*(J$3-1)/35</f>
        <v/>
      </c>
      <c r="K30" s="6">
        <f>'Asumsi'!$C$52+('Asumsi'!$D$52-'Asumsi'!$C$52)*(K$3-1)/35</f>
        <v/>
      </c>
      <c r="L30" s="6">
        <f>'Asumsi'!$C$52+('Asumsi'!$D$52-'Asumsi'!$C$52)*(L$3-1)/35</f>
        <v/>
      </c>
      <c r="M30" s="6">
        <f>'Asumsi'!$C$52+('Asumsi'!$D$52-'Asumsi'!$C$52)*(M$3-1)/35</f>
        <v/>
      </c>
      <c r="N30" s="6">
        <f>'Asumsi'!$C$52+('Asumsi'!$D$52-'Asumsi'!$C$52)*(N$3-1)/35</f>
        <v/>
      </c>
      <c r="O30" s="6">
        <f>'Asumsi'!$C$52+('Asumsi'!$D$52-'Asumsi'!$C$52)*(O$3-1)/35</f>
        <v/>
      </c>
      <c r="P30" s="6">
        <f>'Asumsi'!$C$52+('Asumsi'!$D$52-'Asumsi'!$C$52)*(P$3-1)/35</f>
        <v/>
      </c>
      <c r="Q30" s="6">
        <f>'Asumsi'!$C$52+('Asumsi'!$D$52-'Asumsi'!$C$52)*(Q$3-1)/35</f>
        <v/>
      </c>
      <c r="R30" s="6">
        <f>'Asumsi'!$C$52+('Asumsi'!$D$52-'Asumsi'!$C$52)*(R$3-1)/35</f>
        <v/>
      </c>
      <c r="S30" s="6">
        <f>'Asumsi'!$C$52+('Asumsi'!$D$52-'Asumsi'!$C$52)*(S$3-1)/35</f>
        <v/>
      </c>
      <c r="T30" s="6">
        <f>'Asumsi'!$C$52+('Asumsi'!$D$52-'Asumsi'!$C$52)*(T$3-1)/35</f>
        <v/>
      </c>
      <c r="U30" s="6">
        <f>'Asumsi'!$C$52+('Asumsi'!$D$52-'Asumsi'!$C$52)*(U$3-1)/35</f>
        <v/>
      </c>
      <c r="V30" s="6">
        <f>'Asumsi'!$C$52+('Asumsi'!$D$52-'Asumsi'!$C$52)*(V$3-1)/35</f>
        <v/>
      </c>
      <c r="W30" s="6">
        <f>'Asumsi'!$C$52+('Asumsi'!$D$52-'Asumsi'!$C$52)*(W$3-1)/35</f>
        <v/>
      </c>
      <c r="X30" s="6">
        <f>'Asumsi'!$C$52+('Asumsi'!$D$52-'Asumsi'!$C$52)*(X$3-1)/35</f>
        <v/>
      </c>
      <c r="Y30" s="6">
        <f>'Asumsi'!$C$52+('Asumsi'!$D$52-'Asumsi'!$C$52)*(Y$3-1)/35</f>
        <v/>
      </c>
      <c r="Z30" s="6">
        <f>'Asumsi'!$C$52+('Asumsi'!$D$52-'Asumsi'!$C$52)*(Z$3-1)/35</f>
        <v/>
      </c>
      <c r="AA30" s="6">
        <f>'Asumsi'!$C$52+('Asumsi'!$D$52-'Asumsi'!$C$52)*(AA$3-1)/35</f>
        <v/>
      </c>
      <c r="AB30" s="6">
        <f>'Asumsi'!$C$52+('Asumsi'!$D$52-'Asumsi'!$C$52)*(AB$3-1)/35</f>
        <v/>
      </c>
      <c r="AC30" s="6">
        <f>'Asumsi'!$C$52+('Asumsi'!$D$52-'Asumsi'!$C$52)*(AC$3-1)/35</f>
        <v/>
      </c>
      <c r="AD30" s="6">
        <f>'Asumsi'!$C$52+('Asumsi'!$D$52-'Asumsi'!$C$52)*(AD$3-1)/35</f>
        <v/>
      </c>
      <c r="AE30" s="6">
        <f>'Asumsi'!$C$52+('Asumsi'!$D$52-'Asumsi'!$C$52)*(AE$3-1)/35</f>
        <v/>
      </c>
      <c r="AF30" s="6">
        <f>'Asumsi'!$C$52+('Asumsi'!$D$52-'Asumsi'!$C$52)*(AF$3-1)/35</f>
        <v/>
      </c>
      <c r="AG30" s="6">
        <f>'Asumsi'!$C$52+('Asumsi'!$D$52-'Asumsi'!$C$52)*(AG$3-1)/35</f>
        <v/>
      </c>
      <c r="AH30" s="6">
        <f>'Asumsi'!$C$52+('Asumsi'!$D$52-'Asumsi'!$C$52)*(AH$3-1)/35</f>
        <v/>
      </c>
      <c r="AI30" s="6">
        <f>'Asumsi'!$C$52+('Asumsi'!$D$52-'Asumsi'!$C$52)*(AI$3-1)/35</f>
        <v/>
      </c>
      <c r="AJ30" s="6">
        <f>'Asumsi'!$C$52+('Asumsi'!$D$52-'Asumsi'!$C$52)*(AJ$3-1)/35</f>
        <v/>
      </c>
      <c r="AK30" s="6">
        <f>'Asumsi'!$C$52+('Asumsi'!$D$52-'Asumsi'!$C$52)*(AK$3-1)/35</f>
        <v/>
      </c>
      <c r="AL30" s="6">
        <f>'Asumsi'!$C$52+('Asumsi'!$D$52-'Asumsi'!$C$52)*(AL$3-1)/35</f>
        <v/>
      </c>
    </row>
    <row r="31">
      <c r="B31" t="inlineStr">
        <is>
          <t>OPEX - Operasional &amp; Admin</t>
        </is>
      </c>
      <c r="C31" s="6">
        <f>'Asumsi'!$C$53+('Asumsi'!$D$53-'Asumsi'!$C$53)*(C$3-1)/35</f>
        <v/>
      </c>
      <c r="D31" s="6">
        <f>'Asumsi'!$C$53+('Asumsi'!$D$53-'Asumsi'!$C$53)*(D$3-1)/35</f>
        <v/>
      </c>
      <c r="E31" s="6">
        <f>'Asumsi'!$C$53+('Asumsi'!$D$53-'Asumsi'!$C$53)*(E$3-1)/35</f>
        <v/>
      </c>
      <c r="F31" s="6">
        <f>'Asumsi'!$C$53+('Asumsi'!$D$53-'Asumsi'!$C$53)*(F$3-1)/35</f>
        <v/>
      </c>
      <c r="G31" s="6">
        <f>'Asumsi'!$C$53+('Asumsi'!$D$53-'Asumsi'!$C$53)*(G$3-1)/35</f>
        <v/>
      </c>
      <c r="H31" s="6">
        <f>'Asumsi'!$C$53+('Asumsi'!$D$53-'Asumsi'!$C$53)*(H$3-1)/35</f>
        <v/>
      </c>
      <c r="I31" s="6">
        <f>'Asumsi'!$C$53+('Asumsi'!$D$53-'Asumsi'!$C$53)*(I$3-1)/35</f>
        <v/>
      </c>
      <c r="J31" s="6">
        <f>'Asumsi'!$C$53+('Asumsi'!$D$53-'Asumsi'!$C$53)*(J$3-1)/35</f>
        <v/>
      </c>
      <c r="K31" s="6">
        <f>'Asumsi'!$C$53+('Asumsi'!$D$53-'Asumsi'!$C$53)*(K$3-1)/35</f>
        <v/>
      </c>
      <c r="L31" s="6">
        <f>'Asumsi'!$C$53+('Asumsi'!$D$53-'Asumsi'!$C$53)*(L$3-1)/35</f>
        <v/>
      </c>
      <c r="M31" s="6">
        <f>'Asumsi'!$C$53+('Asumsi'!$D$53-'Asumsi'!$C$53)*(M$3-1)/35</f>
        <v/>
      </c>
      <c r="N31" s="6">
        <f>'Asumsi'!$C$53+('Asumsi'!$D$53-'Asumsi'!$C$53)*(N$3-1)/35</f>
        <v/>
      </c>
      <c r="O31" s="6">
        <f>'Asumsi'!$C$53+('Asumsi'!$D$53-'Asumsi'!$C$53)*(O$3-1)/35</f>
        <v/>
      </c>
      <c r="P31" s="6">
        <f>'Asumsi'!$C$53+('Asumsi'!$D$53-'Asumsi'!$C$53)*(P$3-1)/35</f>
        <v/>
      </c>
      <c r="Q31" s="6">
        <f>'Asumsi'!$C$53+('Asumsi'!$D$53-'Asumsi'!$C$53)*(Q$3-1)/35</f>
        <v/>
      </c>
      <c r="R31" s="6">
        <f>'Asumsi'!$C$53+('Asumsi'!$D$53-'Asumsi'!$C$53)*(R$3-1)/35</f>
        <v/>
      </c>
      <c r="S31" s="6">
        <f>'Asumsi'!$C$53+('Asumsi'!$D$53-'Asumsi'!$C$53)*(S$3-1)/35</f>
        <v/>
      </c>
      <c r="T31" s="6">
        <f>'Asumsi'!$C$53+('Asumsi'!$D$53-'Asumsi'!$C$53)*(T$3-1)/35</f>
        <v/>
      </c>
      <c r="U31" s="6">
        <f>'Asumsi'!$C$53+('Asumsi'!$D$53-'Asumsi'!$C$53)*(U$3-1)/35</f>
        <v/>
      </c>
      <c r="V31" s="6">
        <f>'Asumsi'!$C$53+('Asumsi'!$D$53-'Asumsi'!$C$53)*(V$3-1)/35</f>
        <v/>
      </c>
      <c r="W31" s="6">
        <f>'Asumsi'!$C$53+('Asumsi'!$D$53-'Asumsi'!$C$53)*(W$3-1)/35</f>
        <v/>
      </c>
      <c r="X31" s="6">
        <f>'Asumsi'!$C$53+('Asumsi'!$D$53-'Asumsi'!$C$53)*(X$3-1)/35</f>
        <v/>
      </c>
      <c r="Y31" s="6">
        <f>'Asumsi'!$C$53+('Asumsi'!$D$53-'Asumsi'!$C$53)*(Y$3-1)/35</f>
        <v/>
      </c>
      <c r="Z31" s="6">
        <f>'Asumsi'!$C$53+('Asumsi'!$D$53-'Asumsi'!$C$53)*(Z$3-1)/35</f>
        <v/>
      </c>
      <c r="AA31" s="6">
        <f>'Asumsi'!$C$53+('Asumsi'!$D$53-'Asumsi'!$C$53)*(AA$3-1)/35</f>
        <v/>
      </c>
      <c r="AB31" s="6">
        <f>'Asumsi'!$C$53+('Asumsi'!$D$53-'Asumsi'!$C$53)*(AB$3-1)/35</f>
        <v/>
      </c>
      <c r="AC31" s="6">
        <f>'Asumsi'!$C$53+('Asumsi'!$D$53-'Asumsi'!$C$53)*(AC$3-1)/35</f>
        <v/>
      </c>
      <c r="AD31" s="6">
        <f>'Asumsi'!$C$53+('Asumsi'!$D$53-'Asumsi'!$C$53)*(AD$3-1)/35</f>
        <v/>
      </c>
      <c r="AE31" s="6">
        <f>'Asumsi'!$C$53+('Asumsi'!$D$53-'Asumsi'!$C$53)*(AE$3-1)/35</f>
        <v/>
      </c>
      <c r="AF31" s="6">
        <f>'Asumsi'!$C$53+('Asumsi'!$D$53-'Asumsi'!$C$53)*(AF$3-1)/35</f>
        <v/>
      </c>
      <c r="AG31" s="6">
        <f>'Asumsi'!$C$53+('Asumsi'!$D$53-'Asumsi'!$C$53)*(AG$3-1)/35</f>
        <v/>
      </c>
      <c r="AH31" s="6">
        <f>'Asumsi'!$C$53+('Asumsi'!$D$53-'Asumsi'!$C$53)*(AH$3-1)/35</f>
        <v/>
      </c>
      <c r="AI31" s="6">
        <f>'Asumsi'!$C$53+('Asumsi'!$D$53-'Asumsi'!$C$53)*(AI$3-1)/35</f>
        <v/>
      </c>
      <c r="AJ31" s="6">
        <f>'Asumsi'!$C$53+('Asumsi'!$D$53-'Asumsi'!$C$53)*(AJ$3-1)/35</f>
        <v/>
      </c>
      <c r="AK31" s="6">
        <f>'Asumsi'!$C$53+('Asumsi'!$D$53-'Asumsi'!$C$53)*(AK$3-1)/35</f>
        <v/>
      </c>
      <c r="AL31" s="6">
        <f>'Asumsi'!$C$53+('Asumsi'!$D$53-'Asumsi'!$C$53)*(AL$3-1)/35</f>
        <v/>
      </c>
    </row>
    <row r="32">
      <c r="B32" t="inlineStr">
        <is>
          <t>OPEX - Sales &amp; Marketing</t>
        </is>
      </c>
      <c r="C32" s="6">
        <f>'Asumsi'!$C$54+('Asumsi'!$D$54-'Asumsi'!$C$54)*(C$3-1)/35</f>
        <v/>
      </c>
      <c r="D32" s="6">
        <f>'Asumsi'!$C$54+('Asumsi'!$D$54-'Asumsi'!$C$54)*(D$3-1)/35</f>
        <v/>
      </c>
      <c r="E32" s="6">
        <f>'Asumsi'!$C$54+('Asumsi'!$D$54-'Asumsi'!$C$54)*(E$3-1)/35</f>
        <v/>
      </c>
      <c r="F32" s="6">
        <f>'Asumsi'!$C$54+('Asumsi'!$D$54-'Asumsi'!$C$54)*(F$3-1)/35</f>
        <v/>
      </c>
      <c r="G32" s="6">
        <f>'Asumsi'!$C$54+('Asumsi'!$D$54-'Asumsi'!$C$54)*(G$3-1)/35</f>
        <v/>
      </c>
      <c r="H32" s="6">
        <f>'Asumsi'!$C$54+('Asumsi'!$D$54-'Asumsi'!$C$54)*(H$3-1)/35</f>
        <v/>
      </c>
      <c r="I32" s="6">
        <f>'Asumsi'!$C$54+('Asumsi'!$D$54-'Asumsi'!$C$54)*(I$3-1)/35</f>
        <v/>
      </c>
      <c r="J32" s="6">
        <f>'Asumsi'!$C$54+('Asumsi'!$D$54-'Asumsi'!$C$54)*(J$3-1)/35</f>
        <v/>
      </c>
      <c r="K32" s="6">
        <f>'Asumsi'!$C$54+('Asumsi'!$D$54-'Asumsi'!$C$54)*(K$3-1)/35</f>
        <v/>
      </c>
      <c r="L32" s="6">
        <f>'Asumsi'!$C$54+('Asumsi'!$D$54-'Asumsi'!$C$54)*(L$3-1)/35</f>
        <v/>
      </c>
      <c r="M32" s="6">
        <f>'Asumsi'!$C$54+('Asumsi'!$D$54-'Asumsi'!$C$54)*(M$3-1)/35</f>
        <v/>
      </c>
      <c r="N32" s="6">
        <f>'Asumsi'!$C$54+('Asumsi'!$D$54-'Asumsi'!$C$54)*(N$3-1)/35</f>
        <v/>
      </c>
      <c r="O32" s="6">
        <f>'Asumsi'!$C$54+('Asumsi'!$D$54-'Asumsi'!$C$54)*(O$3-1)/35</f>
        <v/>
      </c>
      <c r="P32" s="6">
        <f>'Asumsi'!$C$54+('Asumsi'!$D$54-'Asumsi'!$C$54)*(P$3-1)/35</f>
        <v/>
      </c>
      <c r="Q32" s="6">
        <f>'Asumsi'!$C$54+('Asumsi'!$D$54-'Asumsi'!$C$54)*(Q$3-1)/35</f>
        <v/>
      </c>
      <c r="R32" s="6">
        <f>'Asumsi'!$C$54+('Asumsi'!$D$54-'Asumsi'!$C$54)*(R$3-1)/35</f>
        <v/>
      </c>
      <c r="S32" s="6">
        <f>'Asumsi'!$C$54+('Asumsi'!$D$54-'Asumsi'!$C$54)*(S$3-1)/35</f>
        <v/>
      </c>
      <c r="T32" s="6">
        <f>'Asumsi'!$C$54+('Asumsi'!$D$54-'Asumsi'!$C$54)*(T$3-1)/35</f>
        <v/>
      </c>
      <c r="U32" s="6">
        <f>'Asumsi'!$C$54+('Asumsi'!$D$54-'Asumsi'!$C$54)*(U$3-1)/35</f>
        <v/>
      </c>
      <c r="V32" s="6">
        <f>'Asumsi'!$C$54+('Asumsi'!$D$54-'Asumsi'!$C$54)*(V$3-1)/35</f>
        <v/>
      </c>
      <c r="W32" s="6">
        <f>'Asumsi'!$C$54+('Asumsi'!$D$54-'Asumsi'!$C$54)*(W$3-1)/35</f>
        <v/>
      </c>
      <c r="X32" s="6">
        <f>'Asumsi'!$C$54+('Asumsi'!$D$54-'Asumsi'!$C$54)*(X$3-1)/35</f>
        <v/>
      </c>
      <c r="Y32" s="6">
        <f>'Asumsi'!$C$54+('Asumsi'!$D$54-'Asumsi'!$C$54)*(Y$3-1)/35</f>
        <v/>
      </c>
      <c r="Z32" s="6">
        <f>'Asumsi'!$C$54+('Asumsi'!$D$54-'Asumsi'!$C$54)*(Z$3-1)/35</f>
        <v/>
      </c>
      <c r="AA32" s="6">
        <f>'Asumsi'!$C$54+('Asumsi'!$D$54-'Asumsi'!$C$54)*(AA$3-1)/35</f>
        <v/>
      </c>
      <c r="AB32" s="6">
        <f>'Asumsi'!$C$54+('Asumsi'!$D$54-'Asumsi'!$C$54)*(AB$3-1)/35</f>
        <v/>
      </c>
      <c r="AC32" s="6">
        <f>'Asumsi'!$C$54+('Asumsi'!$D$54-'Asumsi'!$C$54)*(AC$3-1)/35</f>
        <v/>
      </c>
      <c r="AD32" s="6">
        <f>'Asumsi'!$C$54+('Asumsi'!$D$54-'Asumsi'!$C$54)*(AD$3-1)/35</f>
        <v/>
      </c>
      <c r="AE32" s="6">
        <f>'Asumsi'!$C$54+('Asumsi'!$D$54-'Asumsi'!$C$54)*(AE$3-1)/35</f>
        <v/>
      </c>
      <c r="AF32" s="6">
        <f>'Asumsi'!$C$54+('Asumsi'!$D$54-'Asumsi'!$C$54)*(AF$3-1)/35</f>
        <v/>
      </c>
      <c r="AG32" s="6">
        <f>'Asumsi'!$C$54+('Asumsi'!$D$54-'Asumsi'!$C$54)*(AG$3-1)/35</f>
        <v/>
      </c>
      <c r="AH32" s="6">
        <f>'Asumsi'!$C$54+('Asumsi'!$D$54-'Asumsi'!$C$54)*(AH$3-1)/35</f>
        <v/>
      </c>
      <c r="AI32" s="6">
        <f>'Asumsi'!$C$54+('Asumsi'!$D$54-'Asumsi'!$C$54)*(AI$3-1)/35</f>
        <v/>
      </c>
      <c r="AJ32" s="6">
        <f>'Asumsi'!$C$54+('Asumsi'!$D$54-'Asumsi'!$C$54)*(AJ$3-1)/35</f>
        <v/>
      </c>
      <c r="AK32" s="6">
        <f>'Asumsi'!$C$54+('Asumsi'!$D$54-'Asumsi'!$C$54)*(AK$3-1)/35</f>
        <v/>
      </c>
      <c r="AL32" s="6">
        <f>'Asumsi'!$C$54+('Asumsi'!$D$54-'Asumsi'!$C$54)*(AL$3-1)/35</f>
        <v/>
      </c>
    </row>
    <row r="33">
      <c r="B33" s="30" t="inlineStr">
        <is>
          <t>Total OPEX</t>
        </is>
      </c>
      <c r="C33" s="6">
        <f>SUM(C28:C32)</f>
        <v/>
      </c>
      <c r="D33" s="6">
        <f>SUM(D28:D32)</f>
        <v/>
      </c>
      <c r="E33" s="6">
        <f>SUM(E28:E32)</f>
        <v/>
      </c>
      <c r="F33" s="6">
        <f>SUM(F28:F32)</f>
        <v/>
      </c>
      <c r="G33" s="6">
        <f>SUM(G28:G32)</f>
        <v/>
      </c>
      <c r="H33" s="6">
        <f>SUM(H28:H32)</f>
        <v/>
      </c>
      <c r="I33" s="6">
        <f>SUM(I28:I32)</f>
        <v/>
      </c>
      <c r="J33" s="6">
        <f>SUM(J28:J32)</f>
        <v/>
      </c>
      <c r="K33" s="6">
        <f>SUM(K28:K32)</f>
        <v/>
      </c>
      <c r="L33" s="6">
        <f>SUM(L28:L32)</f>
        <v/>
      </c>
      <c r="M33" s="6">
        <f>SUM(M28:M32)</f>
        <v/>
      </c>
      <c r="N33" s="6">
        <f>SUM(N28:N32)</f>
        <v/>
      </c>
      <c r="O33" s="6">
        <f>SUM(O28:O32)</f>
        <v/>
      </c>
      <c r="P33" s="6">
        <f>SUM(P28:P32)</f>
        <v/>
      </c>
      <c r="Q33" s="6">
        <f>SUM(Q28:Q32)</f>
        <v/>
      </c>
      <c r="R33" s="6">
        <f>SUM(R28:R32)</f>
        <v/>
      </c>
      <c r="S33" s="6">
        <f>SUM(S28:S32)</f>
        <v/>
      </c>
      <c r="T33" s="6">
        <f>SUM(T28:T32)</f>
        <v/>
      </c>
      <c r="U33" s="6">
        <f>SUM(U28:U32)</f>
        <v/>
      </c>
      <c r="V33" s="6">
        <f>SUM(V28:V32)</f>
        <v/>
      </c>
      <c r="W33" s="6">
        <f>SUM(W28:W32)</f>
        <v/>
      </c>
      <c r="X33" s="6">
        <f>SUM(X28:X32)</f>
        <v/>
      </c>
      <c r="Y33" s="6">
        <f>SUM(Y28:Y32)</f>
        <v/>
      </c>
      <c r="Z33" s="6">
        <f>SUM(Z28:Z32)</f>
        <v/>
      </c>
      <c r="AA33" s="6">
        <f>SUM(AA28:AA32)</f>
        <v/>
      </c>
      <c r="AB33" s="6">
        <f>SUM(AB28:AB32)</f>
        <v/>
      </c>
      <c r="AC33" s="6">
        <f>SUM(AC28:AC32)</f>
        <v/>
      </c>
      <c r="AD33" s="6">
        <f>SUM(AD28:AD32)</f>
        <v/>
      </c>
      <c r="AE33" s="6">
        <f>SUM(AE28:AE32)</f>
        <v/>
      </c>
      <c r="AF33" s="6">
        <f>SUM(AF28:AF32)</f>
        <v/>
      </c>
      <c r="AG33" s="6">
        <f>SUM(AG28:AG32)</f>
        <v/>
      </c>
      <c r="AH33" s="6">
        <f>SUM(AH28:AH32)</f>
        <v/>
      </c>
      <c r="AI33" s="6">
        <f>SUM(AI28:AI32)</f>
        <v/>
      </c>
      <c r="AJ33" s="6">
        <f>SUM(AJ28:AJ32)</f>
        <v/>
      </c>
      <c r="AK33" s="6">
        <f>SUM(AK28:AK32)</f>
        <v/>
      </c>
      <c r="AL33" s="6">
        <f>SUM(AL28:AL32)</f>
        <v/>
      </c>
    </row>
    <row r="35">
      <c r="B35" s="31" t="inlineStr">
        <is>
          <t>EBITDA</t>
        </is>
      </c>
      <c r="C35" s="6">
        <f>C25-C33</f>
        <v/>
      </c>
      <c r="D35" s="6">
        <f>D25-D33</f>
        <v/>
      </c>
      <c r="E35" s="6">
        <f>E25-E33</f>
        <v/>
      </c>
      <c r="F35" s="6">
        <f>F25-F33</f>
        <v/>
      </c>
      <c r="G35" s="6">
        <f>G25-G33</f>
        <v/>
      </c>
      <c r="H35" s="6">
        <f>H25-H33</f>
        <v/>
      </c>
      <c r="I35" s="6">
        <f>I25-I33</f>
        <v/>
      </c>
      <c r="J35" s="6">
        <f>J25-J33</f>
        <v/>
      </c>
      <c r="K35" s="6">
        <f>K25-K33</f>
        <v/>
      </c>
      <c r="L35" s="6">
        <f>L25-L33</f>
        <v/>
      </c>
      <c r="M35" s="6">
        <f>M25-M33</f>
        <v/>
      </c>
      <c r="N35" s="6">
        <f>N25-N33</f>
        <v/>
      </c>
      <c r="O35" s="6">
        <f>O25-O33</f>
        <v/>
      </c>
      <c r="P35" s="6">
        <f>P25-P33</f>
        <v/>
      </c>
      <c r="Q35" s="6">
        <f>Q25-Q33</f>
        <v/>
      </c>
      <c r="R35" s="6">
        <f>R25-R33</f>
        <v/>
      </c>
      <c r="S35" s="6">
        <f>S25-S33</f>
        <v/>
      </c>
      <c r="T35" s="6">
        <f>T25-T33</f>
        <v/>
      </c>
      <c r="U35" s="6">
        <f>U25-U33</f>
        <v/>
      </c>
      <c r="V35" s="6">
        <f>V25-V33</f>
        <v/>
      </c>
      <c r="W35" s="6">
        <f>W25-W33</f>
        <v/>
      </c>
      <c r="X35" s="6">
        <f>X25-X33</f>
        <v/>
      </c>
      <c r="Y35" s="6">
        <f>Y25-Y33</f>
        <v/>
      </c>
      <c r="Z35" s="6">
        <f>Z25-Z33</f>
        <v/>
      </c>
      <c r="AA35" s="6">
        <f>AA25-AA33</f>
        <v/>
      </c>
      <c r="AB35" s="6">
        <f>AB25-AB33</f>
        <v/>
      </c>
      <c r="AC35" s="6">
        <f>AC25-AC33</f>
        <v/>
      </c>
      <c r="AD35" s="6">
        <f>AD25-AD33</f>
        <v/>
      </c>
      <c r="AE35" s="6">
        <f>AE25-AE33</f>
        <v/>
      </c>
      <c r="AF35" s="6">
        <f>AF25-AF33</f>
        <v/>
      </c>
      <c r="AG35" s="6">
        <f>AG25-AG33</f>
        <v/>
      </c>
      <c r="AH35" s="6">
        <f>AH25-AH33</f>
        <v/>
      </c>
      <c r="AI35" s="6">
        <f>AI25-AI33</f>
        <v/>
      </c>
      <c r="AJ35" s="6">
        <f>AJ25-AJ33</f>
        <v/>
      </c>
      <c r="AK35" s="6">
        <f>AK25-AK33</f>
        <v/>
      </c>
      <c r="AL35" s="6">
        <f>AL25-AL33</f>
        <v/>
      </c>
    </row>
    <row r="36">
      <c r="B36" s="30" t="inlineStr">
        <is>
          <t>Arus kas kumulatif (pra-pendanaan)</t>
        </is>
      </c>
      <c r="C36" s="6">
        <f>C35</f>
        <v/>
      </c>
      <c r="D36" s="6">
        <f>C36+D35</f>
        <v/>
      </c>
      <c r="E36" s="6">
        <f>D36+E35</f>
        <v/>
      </c>
      <c r="F36" s="6">
        <f>E36+F35</f>
        <v/>
      </c>
      <c r="G36" s="6">
        <f>F36+G35</f>
        <v/>
      </c>
      <c r="H36" s="6">
        <f>G36+H35</f>
        <v/>
      </c>
      <c r="I36" s="6">
        <f>H36+I35</f>
        <v/>
      </c>
      <c r="J36" s="6">
        <f>I36+J35</f>
        <v/>
      </c>
      <c r="K36" s="6">
        <f>J36+K35</f>
        <v/>
      </c>
      <c r="L36" s="6">
        <f>K36+L35</f>
        <v/>
      </c>
      <c r="M36" s="6">
        <f>L36+M35</f>
        <v/>
      </c>
      <c r="N36" s="6">
        <f>M36+N35</f>
        <v/>
      </c>
      <c r="O36" s="6">
        <f>N36+O35</f>
        <v/>
      </c>
      <c r="P36" s="6">
        <f>O36+P35</f>
        <v/>
      </c>
      <c r="Q36" s="6">
        <f>P36+Q35</f>
        <v/>
      </c>
      <c r="R36" s="6">
        <f>Q36+R35</f>
        <v/>
      </c>
      <c r="S36" s="6">
        <f>R36+S35</f>
        <v/>
      </c>
      <c r="T36" s="6">
        <f>S36+T35</f>
        <v/>
      </c>
      <c r="U36" s="6">
        <f>T36+U35</f>
        <v/>
      </c>
      <c r="V36" s="6">
        <f>U36+V35</f>
        <v/>
      </c>
      <c r="W36" s="6">
        <f>V36+W35</f>
        <v/>
      </c>
      <c r="X36" s="6">
        <f>W36+X35</f>
        <v/>
      </c>
      <c r="Y36" s="6">
        <f>X36+Y35</f>
        <v/>
      </c>
      <c r="Z36" s="6">
        <f>Y36+Z35</f>
        <v/>
      </c>
      <c r="AA36" s="6">
        <f>Z36+AA35</f>
        <v/>
      </c>
      <c r="AB36" s="6">
        <f>AA36+AB35</f>
        <v/>
      </c>
      <c r="AC36" s="6">
        <f>AB36+AC35</f>
        <v/>
      </c>
      <c r="AD36" s="6">
        <f>AC36+AD35</f>
        <v/>
      </c>
      <c r="AE36" s="6">
        <f>AD36+AE35</f>
        <v/>
      </c>
      <c r="AF36" s="6">
        <f>AE36+AF35</f>
        <v/>
      </c>
      <c r="AG36" s="6">
        <f>AF36+AG35</f>
        <v/>
      </c>
      <c r="AH36" s="6">
        <f>AG36+AH35</f>
        <v/>
      </c>
      <c r="AI36" s="6">
        <f>AH36+AI35</f>
        <v/>
      </c>
      <c r="AJ36" s="6">
        <f>AI36+AJ35</f>
        <v/>
      </c>
      <c r="AK36" s="6">
        <f>AJ36+AK35</f>
        <v/>
      </c>
      <c r="AL36" s="6">
        <f>AK36+AL35</f>
        <v/>
      </c>
    </row>
    <row r="38">
      <c r="B38" t="inlineStr">
        <is>
          <t>Jumlah staf</t>
        </is>
      </c>
      <c r="C38" s="8">
        <f>SUMPRODUCT(('Asumsi'!$D$39:$D$46&lt;=C$3)*1)</f>
        <v/>
      </c>
      <c r="D38" s="8">
        <f>SUMPRODUCT(('Asumsi'!$D$39:$D$46&lt;=D$3)*1)</f>
        <v/>
      </c>
      <c r="E38" s="8">
        <f>SUMPRODUCT(('Asumsi'!$D$39:$D$46&lt;=E$3)*1)</f>
        <v/>
      </c>
      <c r="F38" s="8">
        <f>SUMPRODUCT(('Asumsi'!$D$39:$D$46&lt;=F$3)*1)</f>
        <v/>
      </c>
      <c r="G38" s="8">
        <f>SUMPRODUCT(('Asumsi'!$D$39:$D$46&lt;=G$3)*1)</f>
        <v/>
      </c>
      <c r="H38" s="8">
        <f>SUMPRODUCT(('Asumsi'!$D$39:$D$46&lt;=H$3)*1)</f>
        <v/>
      </c>
      <c r="I38" s="8">
        <f>SUMPRODUCT(('Asumsi'!$D$39:$D$46&lt;=I$3)*1)</f>
        <v/>
      </c>
      <c r="J38" s="8">
        <f>SUMPRODUCT(('Asumsi'!$D$39:$D$46&lt;=J$3)*1)</f>
        <v/>
      </c>
      <c r="K38" s="8">
        <f>SUMPRODUCT(('Asumsi'!$D$39:$D$46&lt;=K$3)*1)</f>
        <v/>
      </c>
      <c r="L38" s="8">
        <f>SUMPRODUCT(('Asumsi'!$D$39:$D$46&lt;=L$3)*1)</f>
        <v/>
      </c>
      <c r="M38" s="8">
        <f>SUMPRODUCT(('Asumsi'!$D$39:$D$46&lt;=M$3)*1)</f>
        <v/>
      </c>
      <c r="N38" s="8">
        <f>SUMPRODUCT(('Asumsi'!$D$39:$D$46&lt;=N$3)*1)</f>
        <v/>
      </c>
      <c r="O38" s="8">
        <f>SUMPRODUCT(('Asumsi'!$D$39:$D$46&lt;=O$3)*1)</f>
        <v/>
      </c>
      <c r="P38" s="8">
        <f>SUMPRODUCT(('Asumsi'!$D$39:$D$46&lt;=P$3)*1)</f>
        <v/>
      </c>
      <c r="Q38" s="8">
        <f>SUMPRODUCT(('Asumsi'!$D$39:$D$46&lt;=Q$3)*1)</f>
        <v/>
      </c>
      <c r="R38" s="8">
        <f>SUMPRODUCT(('Asumsi'!$D$39:$D$46&lt;=R$3)*1)</f>
        <v/>
      </c>
      <c r="S38" s="8">
        <f>SUMPRODUCT(('Asumsi'!$D$39:$D$46&lt;=S$3)*1)</f>
        <v/>
      </c>
      <c r="T38" s="8">
        <f>SUMPRODUCT(('Asumsi'!$D$39:$D$46&lt;=T$3)*1)</f>
        <v/>
      </c>
      <c r="U38" s="8">
        <f>SUMPRODUCT(('Asumsi'!$D$39:$D$46&lt;=U$3)*1)</f>
        <v/>
      </c>
      <c r="V38" s="8">
        <f>SUMPRODUCT(('Asumsi'!$D$39:$D$46&lt;=V$3)*1)</f>
        <v/>
      </c>
      <c r="W38" s="8">
        <f>SUMPRODUCT(('Asumsi'!$D$39:$D$46&lt;=W$3)*1)</f>
        <v/>
      </c>
      <c r="X38" s="8">
        <f>SUMPRODUCT(('Asumsi'!$D$39:$D$46&lt;=X$3)*1)</f>
        <v/>
      </c>
      <c r="Y38" s="8">
        <f>SUMPRODUCT(('Asumsi'!$D$39:$D$46&lt;=Y$3)*1)</f>
        <v/>
      </c>
      <c r="Z38" s="8">
        <f>SUMPRODUCT(('Asumsi'!$D$39:$D$46&lt;=Z$3)*1)</f>
        <v/>
      </c>
      <c r="AA38" s="8">
        <f>SUMPRODUCT(('Asumsi'!$D$39:$D$46&lt;=AA$3)*1)</f>
        <v/>
      </c>
      <c r="AB38" s="8">
        <f>SUMPRODUCT(('Asumsi'!$D$39:$D$46&lt;=AB$3)*1)</f>
        <v/>
      </c>
      <c r="AC38" s="8">
        <f>SUMPRODUCT(('Asumsi'!$D$39:$D$46&lt;=AC$3)*1)</f>
        <v/>
      </c>
      <c r="AD38" s="8">
        <f>SUMPRODUCT(('Asumsi'!$D$39:$D$46&lt;=AD$3)*1)</f>
        <v/>
      </c>
      <c r="AE38" s="8">
        <f>SUMPRODUCT(('Asumsi'!$D$39:$D$46&lt;=AE$3)*1)</f>
        <v/>
      </c>
      <c r="AF38" s="8">
        <f>SUMPRODUCT(('Asumsi'!$D$39:$D$46&lt;=AF$3)*1)</f>
        <v/>
      </c>
      <c r="AG38" s="8">
        <f>SUMPRODUCT(('Asumsi'!$D$39:$D$46&lt;=AG$3)*1)</f>
        <v/>
      </c>
      <c r="AH38" s="8">
        <f>SUMPRODUCT(('Asumsi'!$D$39:$D$46&lt;=AH$3)*1)</f>
        <v/>
      </c>
      <c r="AI38" s="8">
        <f>SUMPRODUCT(('Asumsi'!$D$39:$D$46&lt;=AI$3)*1)</f>
        <v/>
      </c>
      <c r="AJ38" s="8">
        <f>SUMPRODUCT(('Asumsi'!$D$39:$D$46&lt;=AJ$3)*1)</f>
        <v/>
      </c>
      <c r="AK38" s="8">
        <f>SUMPRODUCT(('Asumsi'!$D$39:$D$46&lt;=AK$3)*1)</f>
        <v/>
      </c>
      <c r="AL38" s="8">
        <f>SUMPRODUCT(('Asumsi'!$D$39:$D$46&lt;=AL$3)*1)</f>
        <v/>
      </c>
    </row>
    <row r="40" hidden="1">
      <c r="B40" t="inlineStr">
        <is>
          <t>(helper) bln profit</t>
        </is>
      </c>
      <c r="C40" s="8">
        <f>IF(C35&gt;0,C$3,9999)</f>
        <v/>
      </c>
      <c r="D40" s="8">
        <f>IF(D35&gt;0,D$3,9999)</f>
        <v/>
      </c>
      <c r="E40" s="8">
        <f>IF(E35&gt;0,E$3,9999)</f>
        <v/>
      </c>
      <c r="F40" s="8">
        <f>IF(F35&gt;0,F$3,9999)</f>
        <v/>
      </c>
      <c r="G40" s="8">
        <f>IF(G35&gt;0,G$3,9999)</f>
        <v/>
      </c>
      <c r="H40" s="8">
        <f>IF(H35&gt;0,H$3,9999)</f>
        <v/>
      </c>
      <c r="I40" s="8">
        <f>IF(I35&gt;0,I$3,9999)</f>
        <v/>
      </c>
      <c r="J40" s="8">
        <f>IF(J35&gt;0,J$3,9999)</f>
        <v/>
      </c>
      <c r="K40" s="8">
        <f>IF(K35&gt;0,K$3,9999)</f>
        <v/>
      </c>
      <c r="L40" s="8">
        <f>IF(L35&gt;0,L$3,9999)</f>
        <v/>
      </c>
      <c r="M40" s="8">
        <f>IF(M35&gt;0,M$3,9999)</f>
        <v/>
      </c>
      <c r="N40" s="8">
        <f>IF(N35&gt;0,N$3,9999)</f>
        <v/>
      </c>
      <c r="O40" s="8">
        <f>IF(O35&gt;0,O$3,9999)</f>
        <v/>
      </c>
      <c r="P40" s="8">
        <f>IF(P35&gt;0,P$3,9999)</f>
        <v/>
      </c>
      <c r="Q40" s="8">
        <f>IF(Q35&gt;0,Q$3,9999)</f>
        <v/>
      </c>
      <c r="R40" s="8">
        <f>IF(R35&gt;0,R$3,9999)</f>
        <v/>
      </c>
      <c r="S40" s="8">
        <f>IF(S35&gt;0,S$3,9999)</f>
        <v/>
      </c>
      <c r="T40" s="8">
        <f>IF(T35&gt;0,T$3,9999)</f>
        <v/>
      </c>
      <c r="U40" s="8">
        <f>IF(U35&gt;0,U$3,9999)</f>
        <v/>
      </c>
      <c r="V40" s="8">
        <f>IF(V35&gt;0,V$3,9999)</f>
        <v/>
      </c>
      <c r="W40" s="8">
        <f>IF(W35&gt;0,W$3,9999)</f>
        <v/>
      </c>
      <c r="X40" s="8">
        <f>IF(X35&gt;0,X$3,9999)</f>
        <v/>
      </c>
      <c r="Y40" s="8">
        <f>IF(Y35&gt;0,Y$3,9999)</f>
        <v/>
      </c>
      <c r="Z40" s="8">
        <f>IF(Z35&gt;0,Z$3,9999)</f>
        <v/>
      </c>
      <c r="AA40" s="8">
        <f>IF(AA35&gt;0,AA$3,9999)</f>
        <v/>
      </c>
      <c r="AB40" s="8">
        <f>IF(AB35&gt;0,AB$3,9999)</f>
        <v/>
      </c>
      <c r="AC40" s="8">
        <f>IF(AC35&gt;0,AC$3,9999)</f>
        <v/>
      </c>
      <c r="AD40" s="8">
        <f>IF(AD35&gt;0,AD$3,9999)</f>
        <v/>
      </c>
      <c r="AE40" s="8">
        <f>IF(AE35&gt;0,AE$3,9999)</f>
        <v/>
      </c>
      <c r="AF40" s="8">
        <f>IF(AF35&gt;0,AF$3,9999)</f>
        <v/>
      </c>
      <c r="AG40" s="8">
        <f>IF(AG35&gt;0,AG$3,9999)</f>
        <v/>
      </c>
      <c r="AH40" s="8">
        <f>IF(AH35&gt;0,AH$3,9999)</f>
        <v/>
      </c>
      <c r="AI40" s="8">
        <f>IF(AI35&gt;0,AI$3,9999)</f>
        <v/>
      </c>
      <c r="AJ40" s="8">
        <f>IF(AJ35&gt;0,AJ$3,9999)</f>
        <v/>
      </c>
      <c r="AK40" s="8">
        <f>IF(AK35&gt;0,AK$3,9999)</f>
        <v/>
      </c>
      <c r="AL40" s="8">
        <f>IF(AL35&gt;0,AL$3,9999)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2026-06-06T20:33:13Z</dcterms:created>
  <dcterms:modified xsi:type="dcterms:W3CDTF">2026-06-06T20:33:13Z</dcterms:modified>
</cp:coreProperties>
</file>